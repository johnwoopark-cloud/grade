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계산기" sheetId="2" state="visible" r:id="rId4"/>
    <sheet name="설정" sheetId="3" state="visible" r:id="rId5"/>
    <sheet name="사용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<sst xmlns="http://schemas.openxmlformats.org/spreadsheetml/2006/main" count="169" uniqueCount="56">
  <si>
    <t xml:space="preserve">과목별 최종 점수</t>
  </si>
  <si>
    <r>
      <rPr>
        <sz val="10"/>
        <color rgb="FF595959"/>
        <rFont val="WenQuanYi Zen Hei"/>
        <family val="2"/>
      </rPr>
      <t xml:space="preserve">계산기 시트에서 자동으로 계산됩니다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과목을 추가하면 아래 빈 칸에 과목 이름만 적으세요</t>
    </r>
    <r>
      <rPr>
        <sz val="10"/>
        <color rgb="FF595959"/>
        <rFont val="Arial"/>
        <family val="0"/>
        <charset val="1"/>
      </rPr>
      <t xml:space="preserve">.</t>
    </r>
  </si>
  <si>
    <t xml:space="preserve">과목</t>
  </si>
  <si>
    <t xml:space="preserve">최종 점수</t>
  </si>
  <si>
    <r>
      <rPr>
        <b val="true"/>
        <sz val="10"/>
        <rFont val="WenQuanYi Zen Hei"/>
        <family val="2"/>
      </rPr>
      <t xml:space="preserve">반영비율 합</t>
    </r>
    <r>
      <rPr>
        <b val="true"/>
        <sz val="10"/>
        <rFont val="Arial"/>
        <family val="0"/>
        <charset val="1"/>
      </rPr>
      <t xml:space="preserve">(%)</t>
    </r>
  </si>
  <si>
    <t xml:space="preserve">결시 항목 수</t>
  </si>
  <si>
    <t xml:space="preserve">상태</t>
  </si>
  <si>
    <t xml:space="preserve">국어</t>
  </si>
  <si>
    <t xml:space="preserve">영어</t>
  </si>
  <si>
    <t xml:space="preserve">수학</t>
  </si>
  <si>
    <t xml:space="preserve">사회</t>
  </si>
  <si>
    <t xml:space="preserve">과학</t>
  </si>
  <si>
    <t xml:space="preserve">과학실험</t>
  </si>
  <si>
    <t xml:space="preserve">결시 인정점 계산기</t>
  </si>
  <si>
    <r>
      <rPr>
        <sz val="10"/>
        <color rgb="FF595959"/>
        <rFont val="WenQuanYi Zen Hei"/>
        <family val="2"/>
      </rPr>
      <t xml:space="preserve">노란 칸만 입력하세요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보지 못한 항목은 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응시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를 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결시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로 바꾸고 사유를 고릅니다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정기시험 결시는 같은 과목에서 본 시험의 점수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평균으로</t>
    </r>
    <r>
      <rPr>
        <sz val="10"/>
        <color rgb="FF595959"/>
        <rFont val="Arial"/>
        <family val="0"/>
        <charset val="1"/>
      </rPr>
      <t xml:space="preserve">(⑥-1), </t>
    </r>
    <r>
      <rPr>
        <sz val="10"/>
        <color rgb="FF595959"/>
        <rFont val="WenQuanYi Zen Hei"/>
        <family val="2"/>
      </rPr>
      <t xml:space="preserve">정기시험이 모두 없으면 수행평가로</t>
    </r>
    <r>
      <rPr>
        <sz val="10"/>
        <color rgb="FF595959"/>
        <rFont val="Arial"/>
        <family val="0"/>
        <charset val="1"/>
      </rPr>
      <t xml:space="preserve">(⑥-2) </t>
    </r>
    <r>
      <rPr>
        <sz val="10"/>
        <color rgb="FF595959"/>
        <rFont val="WenQuanYi Zen Hei"/>
        <family val="2"/>
      </rPr>
      <t xml:space="preserve">계산합니다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수행평가 결시는 만점의 </t>
    </r>
    <r>
      <rPr>
        <sz val="10"/>
        <color rgb="FF595959"/>
        <rFont val="Arial"/>
        <family val="0"/>
        <charset val="1"/>
      </rPr>
      <t xml:space="preserve">30%</t>
    </r>
    <r>
      <rPr>
        <sz val="10"/>
        <color rgb="FF595959"/>
        <rFont val="WenQuanYi Zen Hei"/>
        <family val="2"/>
      </rPr>
      <t xml:space="preserve">입니다</t>
    </r>
    <r>
      <rPr>
        <sz val="10"/>
        <color rgb="FF595959"/>
        <rFont val="Arial"/>
        <family val="0"/>
        <charset val="1"/>
      </rPr>
      <t xml:space="preserve">.</t>
    </r>
  </si>
  <si>
    <r>
      <rPr>
        <sz val="10"/>
        <color rgb="FF595959"/>
        <rFont val="WenQuanYi Zen Hei"/>
        <family val="2"/>
      </rPr>
      <t xml:space="preserve">평균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결시한 시험은 그 시험의 과목평균</t>
    </r>
    <r>
      <rPr>
        <sz val="10"/>
        <color rgb="FF595959"/>
        <rFont val="Arial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응시한 시험은 그 시험의 과목평균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결시 계산에 쓰임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을 넣습니다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위원회 심의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점수가 하나도 없음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일 때는 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직접 입력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에 학교가 정한 값을 넣습니다</t>
    </r>
    <r>
      <rPr>
        <sz val="10"/>
        <color rgb="FF595959"/>
        <rFont val="Arial"/>
        <family val="0"/>
        <charset val="1"/>
      </rPr>
      <t xml:space="preserve">.</t>
    </r>
  </si>
  <si>
    <t xml:space="preserve">항목</t>
  </si>
  <si>
    <t xml:space="preserve">구분</t>
  </si>
  <si>
    <r>
      <rPr>
        <b val="true"/>
        <sz val="10"/>
        <rFont val="WenQuanYi Zen Hei"/>
        <family val="2"/>
      </rPr>
      <t xml:space="preserve">반영비율</t>
    </r>
    <r>
      <rPr>
        <b val="true"/>
        <sz val="10"/>
        <rFont val="Arial"/>
        <family val="0"/>
        <charset val="1"/>
      </rPr>
      <t xml:space="preserve">(%)</t>
    </r>
  </si>
  <si>
    <t xml:space="preserve">만점</t>
  </si>
  <si>
    <r>
      <rPr>
        <b val="true"/>
        <sz val="10"/>
        <rFont val="WenQuanYi Zen Hei"/>
        <family val="2"/>
      </rPr>
      <t xml:space="preserve">응시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결시</t>
    </r>
  </si>
  <si>
    <t xml:space="preserve">결시 사유</t>
  </si>
  <si>
    <t xml:space="preserve">원점수</t>
  </si>
  <si>
    <r>
      <rPr>
        <b val="true"/>
        <sz val="10"/>
        <rFont val="WenQuanYi Zen Hei"/>
        <family val="2"/>
      </rPr>
      <t xml:space="preserve">과목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영역 평균</t>
    </r>
  </si>
  <si>
    <r>
      <rPr>
        <b val="true"/>
        <sz val="10"/>
        <rFont val="WenQuanYi Zen Hei"/>
        <family val="2"/>
      </rPr>
      <t xml:space="preserve">직접 입력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위원회</t>
    </r>
    <r>
      <rPr>
        <b val="true"/>
        <sz val="10"/>
        <rFont val="Arial"/>
        <family val="0"/>
        <charset val="1"/>
      </rPr>
      <t xml:space="preserve">)</t>
    </r>
  </si>
  <si>
    <t xml:space="preserve">인정점</t>
  </si>
  <si>
    <t xml:space="preserve">적용 점수</t>
  </si>
  <si>
    <t xml:space="preserve">반영점수</t>
  </si>
  <si>
    <t xml:space="preserve">산출 근거</t>
  </si>
  <si>
    <t xml:space="preserve">중간고사</t>
  </si>
  <si>
    <t xml:space="preserve">정기시험</t>
  </si>
  <si>
    <t xml:space="preserve">응시</t>
  </si>
  <si>
    <t xml:space="preserve">질병</t>
  </si>
  <si>
    <t xml:space="preserve">기말고사</t>
  </si>
  <si>
    <r>
      <rPr>
        <sz val="10"/>
        <color rgb="FF0000FF"/>
        <rFont val="WenQuanYi Zen Hei"/>
        <family val="2"/>
      </rPr>
      <t xml:space="preserve">수행평가</t>
    </r>
    <r>
      <rPr>
        <sz val="10"/>
        <color rgb="FF0000FF"/>
        <rFont val="Arial"/>
        <family val="0"/>
        <charset val="1"/>
      </rPr>
      <t xml:space="preserve">1</t>
    </r>
  </si>
  <si>
    <t xml:space="preserve">수행평가</t>
  </si>
  <si>
    <r>
      <rPr>
        <sz val="10"/>
        <color rgb="FF0000FF"/>
        <rFont val="WenQuanYi Zen Hei"/>
        <family val="2"/>
      </rPr>
      <t xml:space="preserve">수행평가</t>
    </r>
    <r>
      <rPr>
        <sz val="10"/>
        <color rgb="FF0000FF"/>
        <rFont val="Arial"/>
        <family val="0"/>
        <charset val="1"/>
      </rPr>
      <t xml:space="preserve">2</t>
    </r>
  </si>
  <si>
    <r>
      <rPr>
        <b val="true"/>
        <sz val="12"/>
        <rFont val="WenQuanYi Zen Hei"/>
        <family val="2"/>
      </rPr>
      <t xml:space="preserve">설정값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노란 칸만 바꾸세요</t>
    </r>
    <r>
      <rPr>
        <b val="true"/>
        <sz val="12"/>
        <rFont val="Arial"/>
        <family val="0"/>
        <charset val="1"/>
      </rPr>
      <t xml:space="preserve">)</t>
    </r>
  </si>
  <si>
    <t xml:space="preserve">값</t>
  </si>
  <si>
    <t xml:space="preserve">근거</t>
  </si>
  <si>
    <t xml:space="preserve">질병 결시 인정 비율</t>
  </si>
  <si>
    <r>
      <rPr>
        <sz val="10"/>
        <color rgb="FF595959"/>
        <rFont val="WenQuanYi Zen Hei"/>
        <family val="2"/>
      </rPr>
      <t xml:space="preserve">학업성적관리규정 제</t>
    </r>
    <r>
      <rPr>
        <sz val="10"/>
        <color rgb="FF595959"/>
        <rFont val="Arial"/>
        <family val="0"/>
        <charset val="1"/>
      </rPr>
      <t xml:space="preserve">22</t>
    </r>
    <r>
      <rPr>
        <sz val="10"/>
        <color rgb="FF595959"/>
        <rFont val="WenQuanYi Zen Hei"/>
        <family val="2"/>
      </rPr>
      <t xml:space="preserve">조 ④ 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사용자 확인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질병 결시 </t>
    </r>
    <r>
      <rPr>
        <sz val="10"/>
        <color rgb="FF595959"/>
        <rFont val="Arial"/>
        <family val="0"/>
        <charset val="1"/>
      </rPr>
      <t xml:space="preserve">80%)</t>
    </r>
  </si>
  <si>
    <t xml:space="preserve">출석인정 결시 인정 비율</t>
  </si>
  <si>
    <r>
      <rPr>
        <sz val="10"/>
        <color rgb="FF595959"/>
        <rFont val="WenQuanYi Zen Hei"/>
        <family val="2"/>
      </rPr>
      <t xml:space="preserve">학업성적관리규정 제</t>
    </r>
    <r>
      <rPr>
        <sz val="10"/>
        <color rgb="FF595959"/>
        <rFont val="Arial"/>
        <family val="0"/>
        <charset val="1"/>
      </rPr>
      <t xml:space="preserve">22</t>
    </r>
    <r>
      <rPr>
        <sz val="10"/>
        <color rgb="FF595959"/>
        <rFont val="WenQuanYi Zen Hei"/>
        <family val="2"/>
      </rPr>
      <t xml:space="preserve">조 ⑥ 예시 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출석인정 </t>
    </r>
    <r>
      <rPr>
        <sz val="10"/>
        <color rgb="FF595959"/>
        <rFont val="Arial"/>
        <family val="0"/>
        <charset val="1"/>
      </rPr>
      <t xml:space="preserve">100%)</t>
    </r>
  </si>
  <si>
    <r>
      <rPr>
        <sz val="10"/>
        <rFont val="WenQuanYi Zen Hei"/>
        <family val="2"/>
      </rPr>
      <t xml:space="preserve">수행평가 결시 기본점수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만점 대비</t>
    </r>
    <r>
      <rPr>
        <sz val="1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</si>
  <si>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사용자 지정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수행평가 결시는 만점의 </t>
    </r>
    <r>
      <rPr>
        <sz val="10"/>
        <color rgb="FF595959"/>
        <rFont val="Arial"/>
        <family val="0"/>
        <charset val="1"/>
      </rPr>
      <t xml:space="preserve">30%</t>
    </r>
    <r>
      <rPr>
        <sz val="10"/>
        <color rgb="FF595959"/>
        <rFont val="WenQuanYi Zen Hei"/>
        <family val="2"/>
      </rPr>
      <t xml:space="preserve">만 부여</t>
    </r>
  </si>
  <si>
    <t xml:space="preserve">사용법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</si>
  <si>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계산기 시트의 노란 칸만 입력합니다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흰 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인정점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적용 점수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반영점수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산출 근거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자동 계산됩니다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</si>
  <si>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본 시험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원점수와 그 시험의 과목평균을 넣습니다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과목평균은 다른 시험이 결시일 때 계산에 쓰임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</si>
  <si>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못 본 시험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응시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결시를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결시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결시 사유를 고르고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 시험의 과목평균을 넣습니다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</si>
  <si>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수행평가 결시는 만점의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가 자동으로 들어갑니다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설정 시트에서 비율 변경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</si>
  <si>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과목을 추가하려면 계산기 시트 아래 빈 줄에 과목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항목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반영비율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만점을 적고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요약 시트에 과목 이름을 적습니다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</si>
  <si>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예시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규정 캡처의 예시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국어 기말 질병 결시</t>
    </r>
    <r>
      <rPr>
        <b val="true"/>
        <sz val="10"/>
        <rFont val="Arial"/>
        <family val="0"/>
        <charset val="1"/>
      </rPr>
      <t xml:space="preserve">)</t>
    </r>
  </si>
  <si>
    <t xml:space="preserve">과목평균</t>
  </si>
  <si>
    <t xml:space="preserve">결시</t>
  </si>
  <si>
    <t xml:space="preserve">47.86 (= 66.9 × 61.45 ÷ 68.72 × 80%)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</si>
</sst>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WenQuanYi Zen Hei"/>
      <family val="2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IF(A5="","",ROUND(SUMIFS(계산기!$M$6:$M$43,계산기!$A$6:$A$43,A5),2))</f>
        <v>0</v>
      </c>
      <c r="C5" s="6" t="n">
        <f aca="false">IF(A5="","",SUMIFS(계산기!$D$6:$D$43,계산기!$A$6:$A$43,A5))</f>
        <v>100</v>
      </c>
      <c r="D5" s="6" t="n">
        <f aca="false">IF(A5="","",COUNTIFS(계산기!$A$6:$A$43,A5,계산기!$F$6:$F$43,"결시"))</f>
        <v>0</v>
      </c>
      <c r="E5" s="6" t="str">
        <f aca="false">IF(A5="","",IF(C5&lt;&gt;100,"반영비율 합이 100이 아님",IF(COUNTIFS(계산기!$A$6:$A$43,A5)=0,"계산기에 항목 없음",IF(COUNTIFS(계산기!$A$6:$A$43,A5,계산기!$M$6:$M$43,"")&gt;0,"입력 중","완료"))))</f>
        <v>입력 중</v>
      </c>
    </row>
    <row r="6" customFormat="false" ht="15" hidden="false" customHeight="false" outlineLevel="0" collapsed="false">
      <c r="A6" s="4" t="s">
        <v>8</v>
      </c>
      <c r="B6" s="5" t="n">
        <f aca="false">IF(A6="","",ROUND(SUMIFS(계산기!$M$6:$M$43,계산기!$A$6:$A$43,A6),2))</f>
        <v>0</v>
      </c>
      <c r="C6" s="6" t="n">
        <f aca="false">IF(A6="","",SUMIFS(계산기!$D$6:$D$43,계산기!$A$6:$A$43,A6))</f>
        <v>100</v>
      </c>
      <c r="D6" s="6" t="n">
        <f aca="false">IF(A6="","",COUNTIFS(계산기!$A$6:$A$43,A6,계산기!$F$6:$F$43,"결시"))</f>
        <v>0</v>
      </c>
      <c r="E6" s="6" t="str">
        <f aca="false">IF(A6="","",IF(C6&lt;&gt;100,"반영비율 합이 100이 아님",IF(COUNTIFS(계산기!$A$6:$A$43,A6)=0,"계산기에 항목 없음",IF(COUNTIFS(계산기!$A$6:$A$43,A6,계산기!$M$6:$M$43,"")&gt;0,"입력 중","완료"))))</f>
        <v>입력 중</v>
      </c>
    </row>
    <row r="7" customFormat="false" ht="15" hidden="false" customHeight="false" outlineLevel="0" collapsed="false">
      <c r="A7" s="4" t="s">
        <v>9</v>
      </c>
      <c r="B7" s="5" t="n">
        <f aca="false">IF(A7="","",ROUND(SUMIFS(계산기!$M$6:$M$43,계산기!$A$6:$A$43,A7),2))</f>
        <v>0</v>
      </c>
      <c r="C7" s="6" t="n">
        <f aca="false">IF(A7="","",SUMIFS(계산기!$D$6:$D$43,계산기!$A$6:$A$43,A7))</f>
        <v>100</v>
      </c>
      <c r="D7" s="6" t="n">
        <f aca="false">IF(A7="","",COUNTIFS(계산기!$A$6:$A$43,A7,계산기!$F$6:$F$43,"결시"))</f>
        <v>0</v>
      </c>
      <c r="E7" s="6" t="str">
        <f aca="false">IF(A7="","",IF(C7&lt;&gt;100,"반영비율 합이 100이 아님",IF(COUNTIFS(계산기!$A$6:$A$43,A7)=0,"계산기에 항목 없음",IF(COUNTIFS(계산기!$A$6:$A$43,A7,계산기!$M$6:$M$43,"")&gt;0,"입력 중","완료"))))</f>
        <v>입력 중</v>
      </c>
    </row>
    <row r="8" customFormat="false" ht="15" hidden="false" customHeight="false" outlineLevel="0" collapsed="false">
      <c r="A8" s="4" t="s">
        <v>10</v>
      </c>
      <c r="B8" s="5" t="n">
        <f aca="false">IF(A8="","",ROUND(SUMIFS(계산기!$M$6:$M$43,계산기!$A$6:$A$43,A8),2))</f>
        <v>0</v>
      </c>
      <c r="C8" s="6" t="n">
        <f aca="false">IF(A8="","",SUMIFS(계산기!$D$6:$D$43,계산기!$A$6:$A$43,A8))</f>
        <v>100</v>
      </c>
      <c r="D8" s="6" t="n">
        <f aca="false">IF(A8="","",COUNTIFS(계산기!$A$6:$A$43,A8,계산기!$F$6:$F$43,"결시"))</f>
        <v>0</v>
      </c>
      <c r="E8" s="6" t="str">
        <f aca="false">IF(A8="","",IF(C8&lt;&gt;100,"반영비율 합이 100이 아님",IF(COUNTIFS(계산기!$A$6:$A$43,A8)=0,"계산기에 항목 없음",IF(COUNTIFS(계산기!$A$6:$A$43,A8,계산기!$M$6:$M$43,"")&gt;0,"입력 중","완료"))))</f>
        <v>입력 중</v>
      </c>
    </row>
    <row r="9" customFormat="false" ht="15" hidden="false" customHeight="false" outlineLevel="0" collapsed="false">
      <c r="A9" s="4" t="s">
        <v>11</v>
      </c>
      <c r="B9" s="5" t="n">
        <f aca="false">IF(A9="","",ROUND(SUMIFS(계산기!$M$6:$M$43,계산기!$A$6:$A$43,A9),2))</f>
        <v>0</v>
      </c>
      <c r="C9" s="6" t="n">
        <f aca="false">IF(A9="","",SUMIFS(계산기!$D$6:$D$43,계산기!$A$6:$A$43,A9))</f>
        <v>100</v>
      </c>
      <c r="D9" s="6" t="n">
        <f aca="false">IF(A9="","",COUNTIFS(계산기!$A$6:$A$43,A9,계산기!$F$6:$F$43,"결시"))</f>
        <v>0</v>
      </c>
      <c r="E9" s="6" t="str">
        <f aca="false">IF(A9="","",IF(C9&lt;&gt;100,"반영비율 합이 100이 아님",IF(COUNTIFS(계산기!$A$6:$A$43,A9)=0,"계산기에 항목 없음",IF(COUNTIFS(계산기!$A$6:$A$43,A9,계산기!$M$6:$M$43,"")&gt;0,"입력 중","완료"))))</f>
        <v>입력 중</v>
      </c>
    </row>
    <row r="10" customFormat="false" ht="15" hidden="false" customHeight="false" outlineLevel="0" collapsed="false">
      <c r="A10" s="4" t="s">
        <v>12</v>
      </c>
      <c r="B10" s="5" t="n">
        <f aca="false">IF(A10="","",ROUND(SUMIFS(계산기!$M$6:$M$43,계산기!$A$6:$A$43,A10),2))</f>
        <v>0</v>
      </c>
      <c r="C10" s="6" t="n">
        <f aca="false">IF(A10="","",SUMIFS(계산기!$D$6:$D$43,계산기!$A$6:$A$43,A10))</f>
        <v>100</v>
      </c>
      <c r="D10" s="6" t="n">
        <f aca="false">IF(A10="","",COUNTIFS(계산기!$A$6:$A$43,A10,계산기!$F$6:$F$43,"결시"))</f>
        <v>0</v>
      </c>
      <c r="E10" s="6" t="str">
        <f aca="false">IF(A10="","",IF(C10&lt;&gt;100,"반영비율 합이 100이 아님",IF(COUNTIFS(계산기!$A$6:$A$43,A10)=0,"계산기에 항목 없음",IF(COUNTIFS(계산기!$A$6:$A$43,A10,계산기!$M$6:$M$43,"")&gt;0,"입력 중","완료"))))</f>
        <v>입력 중</v>
      </c>
    </row>
    <row r="11" customFormat="false" ht="15" hidden="false" customHeight="false" outlineLevel="0" collapsed="false">
      <c r="A11" s="4"/>
      <c r="B11" s="5" t="str">
        <f aca="false">IF(A11="","",ROUND(SUMIFS(계산기!$M$6:$M$43,계산기!$A$6:$A$43,A11),2))</f>
        <v/>
      </c>
      <c r="C11" s="6" t="str">
        <f aca="false">IF(A11="","",SUMIFS(계산기!$D$6:$D$43,계산기!$A$6:$A$43,A11))</f>
        <v/>
      </c>
      <c r="D11" s="6" t="str">
        <f aca="false">IF(A11="","",COUNTIFS(계산기!$A$6:$A$43,A11,계산기!$F$6:$F$43,"결시"))</f>
        <v/>
      </c>
      <c r="E11" s="6" t="str">
        <f aca="false">IF(A11="","",IF(C11&lt;&gt;100,"반영비율 합이 100이 아님",IF(COUNTIFS(계산기!$A$6:$A$43,A11)=0,"계산기에 항목 없음",IF(COUNTIFS(계산기!$A$6:$A$43,A11,계산기!$M$6:$M$43,"")&gt;0,"입력 중","완료"))))</f>
        <v/>
      </c>
    </row>
    <row r="12" customFormat="false" ht="15" hidden="false" customHeight="false" outlineLevel="0" collapsed="false">
      <c r="A12" s="4"/>
      <c r="B12" s="5" t="str">
        <f aca="false">IF(A12="","",ROUND(SUMIFS(계산기!$M$6:$M$43,계산기!$A$6:$A$43,A12),2))</f>
        <v/>
      </c>
      <c r="C12" s="6" t="str">
        <f aca="false">IF(A12="","",SUMIFS(계산기!$D$6:$D$43,계산기!$A$6:$A$43,A12))</f>
        <v/>
      </c>
      <c r="D12" s="6" t="str">
        <f aca="false">IF(A12="","",COUNTIFS(계산기!$A$6:$A$43,A12,계산기!$F$6:$F$43,"결시"))</f>
        <v/>
      </c>
      <c r="E12" s="6" t="str">
        <f aca="false">IF(A12="","",IF(C12&lt;&gt;100,"반영비율 합이 100이 아님",IF(COUNTIFS(계산기!$A$6:$A$43,A12)=0,"계산기에 항목 없음",IF(COUNTIFS(계산기!$A$6:$A$43,A12,계산기!$M$6:$M$43,"")&gt;0,"입력 중","완료"))))</f>
        <v/>
      </c>
    </row>
    <row r="13" customFormat="false" ht="15" hidden="false" customHeight="false" outlineLevel="0" collapsed="false">
      <c r="A13" s="4"/>
      <c r="B13" s="5" t="str">
        <f aca="false">IF(A13="","",ROUND(SUMIFS(계산기!$M$6:$M$43,계산기!$A$6:$A$43,A13),2))</f>
        <v/>
      </c>
      <c r="C13" s="6" t="str">
        <f aca="false">IF(A13="","",SUMIFS(계산기!$D$6:$D$43,계산기!$A$6:$A$43,A13))</f>
        <v/>
      </c>
      <c r="D13" s="6" t="str">
        <f aca="false">IF(A13="","",COUNTIFS(계산기!$A$6:$A$43,A13,계산기!$F$6:$F$43,"결시"))</f>
        <v/>
      </c>
      <c r="E13" s="6" t="str">
        <f aca="false">IF(A13="","",IF(C13&lt;&gt;100,"반영비율 합이 100이 아님",IF(COUNTIFS(계산기!$A$6:$A$43,A13)=0,"계산기에 항목 없음",IF(COUNTIFS(계산기!$A$6:$A$43,A13,계산기!$M$6:$M$43,"")&gt;0,"입력 중","완료"))))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8" min="6" style="0" width="9"/>
    <col collapsed="false" customWidth="true" hidden="false" outlineLevel="0" max="10" min="9" style="0" width="11"/>
    <col collapsed="false" customWidth="true" hidden="false" outlineLevel="0" max="13" min="11" style="0" width="9"/>
    <col collapsed="false" customWidth="true" hidden="false" outlineLevel="0" max="14" min="14" style="0" width="34"/>
  </cols>
  <sheetData>
    <row r="1" customFormat="false" ht="17.35" hidden="false" customHeight="false" outlineLevel="0" collapsed="false">
      <c r="A1" s="1" t="s">
        <v>13</v>
      </c>
    </row>
    <row r="2" customFormat="false" ht="42" hidden="false" customHeight="true" outlineLevel="0" collapsed="false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customFormat="false" ht="30" hidden="false" customHeight="true" outlineLevel="0" collapsed="false">
      <c r="A5" s="9" t="s">
        <v>2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  <c r="K5" s="9" t="s">
        <v>25</v>
      </c>
      <c r="L5" s="9" t="s">
        <v>26</v>
      </c>
      <c r="M5" s="9" t="s">
        <v>27</v>
      </c>
      <c r="N5" s="9" t="s">
        <v>28</v>
      </c>
    </row>
    <row r="6" customFormat="false" ht="15" hidden="false" customHeight="false" outlineLevel="0" collapsed="false">
      <c r="A6" s="4" t="s">
        <v>7</v>
      </c>
      <c r="B6" s="4" t="s">
        <v>29</v>
      </c>
      <c r="C6" s="4" t="s">
        <v>30</v>
      </c>
      <c r="D6" s="4" t="n">
        <v>30</v>
      </c>
      <c r="E6" s="4" t="n">
        <v>100</v>
      </c>
      <c r="F6" s="4" t="s">
        <v>31</v>
      </c>
      <c r="G6" s="4" t="s">
        <v>32</v>
      </c>
      <c r="H6" s="4"/>
      <c r="I6" s="4"/>
      <c r="J6" s="4"/>
      <c r="K6" s="10" t="str">
        <f aca="false">IF(F6&lt;&gt;"결시","",IF(J6&lt;&gt;"",J6,IF(C6="수행평가",ROUND(E6*설정!$B$5,2),IF(I6="","평균 입력 필요",IFERROR(IF(COUNTIFS($A$6:$A$43,A6,$C$6:$C$43,"정기시험",$F$6:$F$43,"응시",$H$6:$H$43,"&lt;&gt;")&gt;0,MIN(E6,ROUND(SUMIFS($H$6:$H$43,$A$6:$A$43,A6,$C$6:$C$43,"정기시험",$F$6:$F$43,"응시",$H$6:$H$43,"&lt;&gt;")*I6/SUMIFS($I$6:$I$43,$A$6:$A$43,A6,$C$6:$C$43,"정기시험",$F$6:$F$43,"응시",$H$6:$H$43,"&lt;&gt;")*IF(G6="출석인정",설정!$B$4,설정!$B$3),2)),IF(COUNTIFS($A$6:$A$43,A6,$C$6:$C$43,"수행평가",$F$6:$F$43,"응시",$H$6:$H$43,"&lt;&gt;")&gt;0,MIN(E6,ROUND(SUMIFS($H$6:$H$43,$A$6:$A$43,A6,$C$6:$C$43,"수행평가",$F$6:$F$43,"응시",$H$6:$H$43,"&lt;&gt;")*I6/SUMIFS($I$6:$I$43,$A$6:$A$43,A6,$C$6:$C$43,"수행평가",$F$6:$F$43,"응시",$H$6:$H$43,"&lt;&gt;")*IF(G6="출석인정",설정!$B$4,설정!$B$3),2)),"위원회 심의")),"기준 시험 평균 입력 필요")))))</f>
        <v/>
      </c>
      <c r="L6" s="10" t="str">
        <f aca="false">IF(A6="","",IF(F6="결시",IF(ISNUMBER(K6),K6,""),IF(H6="","",H6)))</f>
        <v/>
      </c>
      <c r="M6" s="10" t="str">
        <f aca="false">IF(AND(ISNUMBER(L6),N(E6)&gt;0),L6/E6*D6,"")</f>
        <v/>
      </c>
      <c r="N6" s="11" t="str">
        <f aca="false">IF(F6&lt;&gt;"결시","",IF(J6&lt;&gt;"","직접 입력",IF(C6="수행평가","만점의 "&amp;TEXT(설정!$B$5,"0%")&amp;" (기본점수)",IF(COUNTIFS($A$6:$A$43,A6,$C$6:$C$43,"정기시험",$F$6:$F$43,"응시",$H$6:$H$43,"&lt;&gt;")&gt;0,"⑥-1 응시한 정기시험 기준 × "&amp;TEXT(IF(G6="출석인정",설정!$B$4,설정!$B$3),"0%"),IF(COUNTIFS($A$6:$A$43,A6,$C$6:$C$43,"수행평가",$F$6:$F$43,"응시",$H$6:$H$43,"&lt;&gt;")&gt;0,"⑥-2 응시한 수행평가 기준 × "&amp;TEXT(IF(G6="출석인정",설정!$B$4,설정!$B$3),"0%"),"⑧ 위원회 심의")))))</f>
        <v/>
      </c>
    </row>
    <row r="7" customFormat="false" ht="15" hidden="false" customHeight="false" outlineLevel="0" collapsed="false">
      <c r="A7" s="4" t="s">
        <v>7</v>
      </c>
      <c r="B7" s="4" t="s">
        <v>33</v>
      </c>
      <c r="C7" s="4" t="s">
        <v>30</v>
      </c>
      <c r="D7" s="4" t="n">
        <v>30</v>
      </c>
      <c r="E7" s="4" t="n">
        <v>100</v>
      </c>
      <c r="F7" s="4" t="s">
        <v>31</v>
      </c>
      <c r="G7" s="4" t="s">
        <v>32</v>
      </c>
      <c r="H7" s="4"/>
      <c r="I7" s="4"/>
      <c r="J7" s="4"/>
      <c r="K7" s="10" t="str">
        <f aca="false">IF(F7&lt;&gt;"결시","",IF(J7&lt;&gt;"",J7,IF(C7="수행평가",ROUND(E7*설정!$B$5,2),IF(I7="","평균 입력 필요",IFERROR(IF(COUNTIFS($A$6:$A$43,A7,$C$6:$C$43,"정기시험",$F$6:$F$43,"응시",$H$6:$H$43,"&lt;&gt;")&gt;0,MIN(E7,ROUND(SUMIFS($H$6:$H$43,$A$6:$A$43,A7,$C$6:$C$43,"정기시험",$F$6:$F$43,"응시",$H$6:$H$43,"&lt;&gt;")*I7/SUMIFS($I$6:$I$43,$A$6:$A$43,A7,$C$6:$C$43,"정기시험",$F$6:$F$43,"응시",$H$6:$H$43,"&lt;&gt;")*IF(G7="출석인정",설정!$B$4,설정!$B$3),2)),IF(COUNTIFS($A$6:$A$43,A7,$C$6:$C$43,"수행평가",$F$6:$F$43,"응시",$H$6:$H$43,"&lt;&gt;")&gt;0,MIN(E7,ROUND(SUMIFS($H$6:$H$43,$A$6:$A$43,A7,$C$6:$C$43,"수행평가",$F$6:$F$43,"응시",$H$6:$H$43,"&lt;&gt;")*I7/SUMIFS($I$6:$I$43,$A$6:$A$43,A7,$C$6:$C$43,"수행평가",$F$6:$F$43,"응시",$H$6:$H$43,"&lt;&gt;")*IF(G7="출석인정",설정!$B$4,설정!$B$3),2)),"위원회 심의")),"기준 시험 평균 입력 필요")))))</f>
        <v/>
      </c>
      <c r="L7" s="10" t="str">
        <f aca="false">IF(A7="","",IF(F7="결시",IF(ISNUMBER(K7),K7,""),IF(H7="","",H7)))</f>
        <v/>
      </c>
      <c r="M7" s="10" t="str">
        <f aca="false">IF(AND(ISNUMBER(L7),N(E7)&gt;0),L7/E7*D7,"")</f>
        <v/>
      </c>
      <c r="N7" s="11" t="str">
        <f aca="false">IF(F7&lt;&gt;"결시","",IF(J7&lt;&gt;"","직접 입력",IF(C7="수행평가","만점의 "&amp;TEXT(설정!$B$5,"0%")&amp;" (기본점수)",IF(COUNTIFS($A$6:$A$43,A7,$C$6:$C$43,"정기시험",$F$6:$F$43,"응시",$H$6:$H$43,"&lt;&gt;")&gt;0,"⑥-1 응시한 정기시험 기준 × "&amp;TEXT(IF(G7="출석인정",설정!$B$4,설정!$B$3),"0%"),IF(COUNTIFS($A$6:$A$43,A7,$C$6:$C$43,"수행평가",$F$6:$F$43,"응시",$H$6:$H$43,"&lt;&gt;")&gt;0,"⑥-2 응시한 수행평가 기준 × "&amp;TEXT(IF(G7="출석인정",설정!$B$4,설정!$B$3),"0%"),"⑧ 위원회 심의")))))</f>
        <v/>
      </c>
    </row>
    <row r="8" customFormat="false" ht="15" hidden="false" customHeight="false" outlineLevel="0" collapsed="false">
      <c r="A8" s="4" t="s">
        <v>7</v>
      </c>
      <c r="B8" s="4" t="s">
        <v>34</v>
      </c>
      <c r="C8" s="4" t="s">
        <v>35</v>
      </c>
      <c r="D8" s="4" t="n">
        <v>20</v>
      </c>
      <c r="E8" s="4" t="n">
        <v>20</v>
      </c>
      <c r="F8" s="4" t="s">
        <v>31</v>
      </c>
      <c r="G8" s="4" t="s">
        <v>32</v>
      </c>
      <c r="H8" s="4"/>
      <c r="I8" s="4"/>
      <c r="J8" s="4"/>
      <c r="K8" s="10" t="str">
        <f aca="false">IF(F8&lt;&gt;"결시","",IF(J8&lt;&gt;"",J8,IF(C8="수행평가",ROUND(E8*설정!$B$5,2),IF(I8="","평균 입력 필요",IFERROR(IF(COUNTIFS($A$6:$A$43,A8,$C$6:$C$43,"정기시험",$F$6:$F$43,"응시",$H$6:$H$43,"&lt;&gt;")&gt;0,MIN(E8,ROUND(SUMIFS($H$6:$H$43,$A$6:$A$43,A8,$C$6:$C$43,"정기시험",$F$6:$F$43,"응시",$H$6:$H$43,"&lt;&gt;")*I8/SUMIFS($I$6:$I$43,$A$6:$A$43,A8,$C$6:$C$43,"정기시험",$F$6:$F$43,"응시",$H$6:$H$43,"&lt;&gt;")*IF(G8="출석인정",설정!$B$4,설정!$B$3),2)),IF(COUNTIFS($A$6:$A$43,A8,$C$6:$C$43,"수행평가",$F$6:$F$43,"응시",$H$6:$H$43,"&lt;&gt;")&gt;0,MIN(E8,ROUND(SUMIFS($H$6:$H$43,$A$6:$A$43,A8,$C$6:$C$43,"수행평가",$F$6:$F$43,"응시",$H$6:$H$43,"&lt;&gt;")*I8/SUMIFS($I$6:$I$43,$A$6:$A$43,A8,$C$6:$C$43,"수행평가",$F$6:$F$43,"응시",$H$6:$H$43,"&lt;&gt;")*IF(G8="출석인정",설정!$B$4,설정!$B$3),2)),"위원회 심의")),"기준 시험 평균 입력 필요")))))</f>
        <v/>
      </c>
      <c r="L8" s="10" t="str">
        <f aca="false">IF(A8="","",IF(F8="결시",IF(ISNUMBER(K8),K8,""),IF(H8="","",H8)))</f>
        <v/>
      </c>
      <c r="M8" s="10" t="str">
        <f aca="false">IF(AND(ISNUMBER(L8),N(E8)&gt;0),L8/E8*D8,"")</f>
        <v/>
      </c>
      <c r="N8" s="11" t="str">
        <f aca="false">IF(F8&lt;&gt;"결시","",IF(J8&lt;&gt;"","직접 입력",IF(C8="수행평가","만점의 "&amp;TEXT(설정!$B$5,"0%")&amp;" (기본점수)",IF(COUNTIFS($A$6:$A$43,A8,$C$6:$C$43,"정기시험",$F$6:$F$43,"응시",$H$6:$H$43,"&lt;&gt;")&gt;0,"⑥-1 응시한 정기시험 기준 × "&amp;TEXT(IF(G8="출석인정",설정!$B$4,설정!$B$3),"0%"),IF(COUNTIFS($A$6:$A$43,A8,$C$6:$C$43,"수행평가",$F$6:$F$43,"응시",$H$6:$H$43,"&lt;&gt;")&gt;0,"⑥-2 응시한 수행평가 기준 × "&amp;TEXT(IF(G8="출석인정",설정!$B$4,설정!$B$3),"0%"),"⑧ 위원회 심의")))))</f>
        <v/>
      </c>
    </row>
    <row r="9" customFormat="false" ht="15" hidden="false" customHeight="false" outlineLevel="0" collapsed="false">
      <c r="A9" s="4" t="s">
        <v>7</v>
      </c>
      <c r="B9" s="4" t="s">
        <v>36</v>
      </c>
      <c r="C9" s="4" t="s">
        <v>35</v>
      </c>
      <c r="D9" s="4" t="n">
        <v>20</v>
      </c>
      <c r="E9" s="4" t="n">
        <v>20</v>
      </c>
      <c r="F9" s="4" t="s">
        <v>31</v>
      </c>
      <c r="G9" s="4" t="s">
        <v>32</v>
      </c>
      <c r="H9" s="4"/>
      <c r="I9" s="4"/>
      <c r="J9" s="4"/>
      <c r="K9" s="10" t="str">
        <f aca="false">IF(F9&lt;&gt;"결시","",IF(J9&lt;&gt;"",J9,IF(C9="수행평가",ROUND(E9*설정!$B$5,2),IF(I9="","평균 입력 필요",IFERROR(IF(COUNTIFS($A$6:$A$43,A9,$C$6:$C$43,"정기시험",$F$6:$F$43,"응시",$H$6:$H$43,"&lt;&gt;")&gt;0,MIN(E9,ROUND(SUMIFS($H$6:$H$43,$A$6:$A$43,A9,$C$6:$C$43,"정기시험",$F$6:$F$43,"응시",$H$6:$H$43,"&lt;&gt;")*I9/SUMIFS($I$6:$I$43,$A$6:$A$43,A9,$C$6:$C$43,"정기시험",$F$6:$F$43,"응시",$H$6:$H$43,"&lt;&gt;")*IF(G9="출석인정",설정!$B$4,설정!$B$3),2)),IF(COUNTIFS($A$6:$A$43,A9,$C$6:$C$43,"수행평가",$F$6:$F$43,"응시",$H$6:$H$43,"&lt;&gt;")&gt;0,MIN(E9,ROUND(SUMIFS($H$6:$H$43,$A$6:$A$43,A9,$C$6:$C$43,"수행평가",$F$6:$F$43,"응시",$H$6:$H$43,"&lt;&gt;")*I9/SUMIFS($I$6:$I$43,$A$6:$A$43,A9,$C$6:$C$43,"수행평가",$F$6:$F$43,"응시",$H$6:$H$43,"&lt;&gt;")*IF(G9="출석인정",설정!$B$4,설정!$B$3),2)),"위원회 심의")),"기준 시험 평균 입력 필요")))))</f>
        <v/>
      </c>
      <c r="L9" s="10" t="str">
        <f aca="false">IF(A9="","",IF(F9="결시",IF(ISNUMBER(K9),K9,""),IF(H9="","",H9)))</f>
        <v/>
      </c>
      <c r="M9" s="10" t="str">
        <f aca="false">IF(AND(ISNUMBER(L9),N(E9)&gt;0),L9/E9*D9,"")</f>
        <v/>
      </c>
      <c r="N9" s="11" t="str">
        <f aca="false">IF(F9&lt;&gt;"결시","",IF(J9&lt;&gt;"","직접 입력",IF(C9="수행평가","만점의 "&amp;TEXT(설정!$B$5,"0%")&amp;" (기본점수)",IF(COUNTIFS($A$6:$A$43,A9,$C$6:$C$43,"정기시험",$F$6:$F$43,"응시",$H$6:$H$43,"&lt;&gt;")&gt;0,"⑥-1 응시한 정기시험 기준 × "&amp;TEXT(IF(G9="출석인정",설정!$B$4,설정!$B$3),"0%"),IF(COUNTIFS($A$6:$A$43,A9,$C$6:$C$43,"수행평가",$F$6:$F$43,"응시",$H$6:$H$43,"&lt;&gt;")&gt;0,"⑥-2 응시한 수행평가 기준 × "&amp;TEXT(IF(G9="출석인정",설정!$B$4,설정!$B$3),"0%"),"⑧ 위원회 심의")))))</f>
        <v/>
      </c>
    </row>
    <row r="10" customFormat="false" ht="15" hidden="false" customHeight="false" outlineLevel="0" collapsed="false">
      <c r="A10" s="4" t="s">
        <v>8</v>
      </c>
      <c r="B10" s="4" t="s">
        <v>29</v>
      </c>
      <c r="C10" s="4" t="s">
        <v>30</v>
      </c>
      <c r="D10" s="4" t="n">
        <v>30</v>
      </c>
      <c r="E10" s="4" t="n">
        <v>100</v>
      </c>
      <c r="F10" s="4" t="s">
        <v>31</v>
      </c>
      <c r="G10" s="4" t="s">
        <v>32</v>
      </c>
      <c r="H10" s="4"/>
      <c r="I10" s="4"/>
      <c r="J10" s="4"/>
      <c r="K10" s="10" t="str">
        <f aca="false">IF(F10&lt;&gt;"결시","",IF(J10&lt;&gt;"",J10,IF(C10="수행평가",ROUND(E10*설정!$B$5,2),IF(I10="","평균 입력 필요",IFERROR(IF(COUNTIFS($A$6:$A$43,A10,$C$6:$C$43,"정기시험",$F$6:$F$43,"응시",$H$6:$H$43,"&lt;&gt;")&gt;0,MIN(E10,ROUND(SUMIFS($H$6:$H$43,$A$6:$A$43,A10,$C$6:$C$43,"정기시험",$F$6:$F$43,"응시",$H$6:$H$43,"&lt;&gt;")*I10/SUMIFS($I$6:$I$43,$A$6:$A$43,A10,$C$6:$C$43,"정기시험",$F$6:$F$43,"응시",$H$6:$H$43,"&lt;&gt;")*IF(G10="출석인정",설정!$B$4,설정!$B$3),2)),IF(COUNTIFS($A$6:$A$43,A10,$C$6:$C$43,"수행평가",$F$6:$F$43,"응시",$H$6:$H$43,"&lt;&gt;")&gt;0,MIN(E10,ROUND(SUMIFS($H$6:$H$43,$A$6:$A$43,A10,$C$6:$C$43,"수행평가",$F$6:$F$43,"응시",$H$6:$H$43,"&lt;&gt;")*I10/SUMIFS($I$6:$I$43,$A$6:$A$43,A10,$C$6:$C$43,"수행평가",$F$6:$F$43,"응시",$H$6:$H$43,"&lt;&gt;")*IF(G10="출석인정",설정!$B$4,설정!$B$3),2)),"위원회 심의")),"기준 시험 평균 입력 필요")))))</f>
        <v/>
      </c>
      <c r="L10" s="10" t="str">
        <f aca="false">IF(A10="","",IF(F10="결시",IF(ISNUMBER(K10),K10,""),IF(H10="","",H10)))</f>
        <v/>
      </c>
      <c r="M10" s="10" t="str">
        <f aca="false">IF(AND(ISNUMBER(L10),N(E10)&gt;0),L10/E10*D10,"")</f>
        <v/>
      </c>
      <c r="N10" s="11" t="str">
        <f aca="false">IF(F10&lt;&gt;"결시","",IF(J10&lt;&gt;"","직접 입력",IF(C10="수행평가","만점의 "&amp;TEXT(설정!$B$5,"0%")&amp;" (기본점수)",IF(COUNTIFS($A$6:$A$43,A10,$C$6:$C$43,"정기시험",$F$6:$F$43,"응시",$H$6:$H$43,"&lt;&gt;")&gt;0,"⑥-1 응시한 정기시험 기준 × "&amp;TEXT(IF(G10="출석인정",설정!$B$4,설정!$B$3),"0%"),IF(COUNTIFS($A$6:$A$43,A10,$C$6:$C$43,"수행평가",$F$6:$F$43,"응시",$H$6:$H$43,"&lt;&gt;")&gt;0,"⑥-2 응시한 수행평가 기준 × "&amp;TEXT(IF(G10="출석인정",설정!$B$4,설정!$B$3),"0%"),"⑧ 위원회 심의")))))</f>
        <v/>
      </c>
    </row>
    <row r="11" customFormat="false" ht="15" hidden="false" customHeight="false" outlineLevel="0" collapsed="false">
      <c r="A11" s="4" t="s">
        <v>8</v>
      </c>
      <c r="B11" s="4" t="s">
        <v>33</v>
      </c>
      <c r="C11" s="4" t="s">
        <v>30</v>
      </c>
      <c r="D11" s="4" t="n">
        <v>30</v>
      </c>
      <c r="E11" s="4" t="n">
        <v>100</v>
      </c>
      <c r="F11" s="4" t="s">
        <v>31</v>
      </c>
      <c r="G11" s="4" t="s">
        <v>32</v>
      </c>
      <c r="H11" s="4"/>
      <c r="I11" s="4"/>
      <c r="J11" s="4"/>
      <c r="K11" s="10" t="str">
        <f aca="false">IF(F11&lt;&gt;"결시","",IF(J11&lt;&gt;"",J11,IF(C11="수행평가",ROUND(E11*설정!$B$5,2),IF(I11="","평균 입력 필요",IFERROR(IF(COUNTIFS($A$6:$A$43,A11,$C$6:$C$43,"정기시험",$F$6:$F$43,"응시",$H$6:$H$43,"&lt;&gt;")&gt;0,MIN(E11,ROUND(SUMIFS($H$6:$H$43,$A$6:$A$43,A11,$C$6:$C$43,"정기시험",$F$6:$F$43,"응시",$H$6:$H$43,"&lt;&gt;")*I11/SUMIFS($I$6:$I$43,$A$6:$A$43,A11,$C$6:$C$43,"정기시험",$F$6:$F$43,"응시",$H$6:$H$43,"&lt;&gt;")*IF(G11="출석인정",설정!$B$4,설정!$B$3),2)),IF(COUNTIFS($A$6:$A$43,A11,$C$6:$C$43,"수행평가",$F$6:$F$43,"응시",$H$6:$H$43,"&lt;&gt;")&gt;0,MIN(E11,ROUND(SUMIFS($H$6:$H$43,$A$6:$A$43,A11,$C$6:$C$43,"수행평가",$F$6:$F$43,"응시",$H$6:$H$43,"&lt;&gt;")*I11/SUMIFS($I$6:$I$43,$A$6:$A$43,A11,$C$6:$C$43,"수행평가",$F$6:$F$43,"응시",$H$6:$H$43,"&lt;&gt;")*IF(G11="출석인정",설정!$B$4,설정!$B$3),2)),"위원회 심의")),"기준 시험 평균 입력 필요")))))</f>
        <v/>
      </c>
      <c r="L11" s="10" t="str">
        <f aca="false">IF(A11="","",IF(F11="결시",IF(ISNUMBER(K11),K11,""),IF(H11="","",H11)))</f>
        <v/>
      </c>
      <c r="M11" s="10" t="str">
        <f aca="false">IF(AND(ISNUMBER(L11),N(E11)&gt;0),L11/E11*D11,"")</f>
        <v/>
      </c>
      <c r="N11" s="11" t="str">
        <f aca="false">IF(F11&lt;&gt;"결시","",IF(J11&lt;&gt;"","직접 입력",IF(C11="수행평가","만점의 "&amp;TEXT(설정!$B$5,"0%")&amp;" (기본점수)",IF(COUNTIFS($A$6:$A$43,A11,$C$6:$C$43,"정기시험",$F$6:$F$43,"응시",$H$6:$H$43,"&lt;&gt;")&gt;0,"⑥-1 응시한 정기시험 기준 × "&amp;TEXT(IF(G11="출석인정",설정!$B$4,설정!$B$3),"0%"),IF(COUNTIFS($A$6:$A$43,A11,$C$6:$C$43,"수행평가",$F$6:$F$43,"응시",$H$6:$H$43,"&lt;&gt;")&gt;0,"⑥-2 응시한 수행평가 기준 × "&amp;TEXT(IF(G11="출석인정",설정!$B$4,설정!$B$3),"0%"),"⑧ 위원회 심의")))))</f>
        <v/>
      </c>
    </row>
    <row r="12" customFormat="false" ht="15" hidden="false" customHeight="false" outlineLevel="0" collapsed="false">
      <c r="A12" s="4" t="s">
        <v>8</v>
      </c>
      <c r="B12" s="4" t="s">
        <v>34</v>
      </c>
      <c r="C12" s="4" t="s">
        <v>35</v>
      </c>
      <c r="D12" s="4" t="n">
        <v>20</v>
      </c>
      <c r="E12" s="4" t="n">
        <v>20</v>
      </c>
      <c r="F12" s="4" t="s">
        <v>31</v>
      </c>
      <c r="G12" s="4" t="s">
        <v>32</v>
      </c>
      <c r="H12" s="4"/>
      <c r="I12" s="4"/>
      <c r="J12" s="4"/>
      <c r="K12" s="10" t="str">
        <f aca="false">IF(F12&lt;&gt;"결시","",IF(J12&lt;&gt;"",J12,IF(C12="수행평가",ROUND(E12*설정!$B$5,2),IF(I12="","평균 입력 필요",IFERROR(IF(COUNTIFS($A$6:$A$43,A12,$C$6:$C$43,"정기시험",$F$6:$F$43,"응시",$H$6:$H$43,"&lt;&gt;")&gt;0,MIN(E12,ROUND(SUMIFS($H$6:$H$43,$A$6:$A$43,A12,$C$6:$C$43,"정기시험",$F$6:$F$43,"응시",$H$6:$H$43,"&lt;&gt;")*I12/SUMIFS($I$6:$I$43,$A$6:$A$43,A12,$C$6:$C$43,"정기시험",$F$6:$F$43,"응시",$H$6:$H$43,"&lt;&gt;")*IF(G12="출석인정",설정!$B$4,설정!$B$3),2)),IF(COUNTIFS($A$6:$A$43,A12,$C$6:$C$43,"수행평가",$F$6:$F$43,"응시",$H$6:$H$43,"&lt;&gt;")&gt;0,MIN(E12,ROUND(SUMIFS($H$6:$H$43,$A$6:$A$43,A12,$C$6:$C$43,"수행평가",$F$6:$F$43,"응시",$H$6:$H$43,"&lt;&gt;")*I12/SUMIFS($I$6:$I$43,$A$6:$A$43,A12,$C$6:$C$43,"수행평가",$F$6:$F$43,"응시",$H$6:$H$43,"&lt;&gt;")*IF(G12="출석인정",설정!$B$4,설정!$B$3),2)),"위원회 심의")),"기준 시험 평균 입력 필요")))))</f>
        <v/>
      </c>
      <c r="L12" s="10" t="str">
        <f aca="false">IF(A12="","",IF(F12="결시",IF(ISNUMBER(K12),K12,""),IF(H12="","",H12)))</f>
        <v/>
      </c>
      <c r="M12" s="10" t="str">
        <f aca="false">IF(AND(ISNUMBER(L12),N(E12)&gt;0),L12/E12*D12,"")</f>
        <v/>
      </c>
      <c r="N12" s="11" t="str">
        <f aca="false">IF(F12&lt;&gt;"결시","",IF(J12&lt;&gt;"","직접 입력",IF(C12="수행평가","만점의 "&amp;TEXT(설정!$B$5,"0%")&amp;" (기본점수)",IF(COUNTIFS($A$6:$A$43,A12,$C$6:$C$43,"정기시험",$F$6:$F$43,"응시",$H$6:$H$43,"&lt;&gt;")&gt;0,"⑥-1 응시한 정기시험 기준 × "&amp;TEXT(IF(G12="출석인정",설정!$B$4,설정!$B$3),"0%"),IF(COUNTIFS($A$6:$A$43,A12,$C$6:$C$43,"수행평가",$F$6:$F$43,"응시",$H$6:$H$43,"&lt;&gt;")&gt;0,"⑥-2 응시한 수행평가 기준 × "&amp;TEXT(IF(G12="출석인정",설정!$B$4,설정!$B$3),"0%"),"⑧ 위원회 심의")))))</f>
        <v/>
      </c>
    </row>
    <row r="13" customFormat="false" ht="15" hidden="false" customHeight="false" outlineLevel="0" collapsed="false">
      <c r="A13" s="4" t="s">
        <v>8</v>
      </c>
      <c r="B13" s="4" t="s">
        <v>36</v>
      </c>
      <c r="C13" s="4" t="s">
        <v>35</v>
      </c>
      <c r="D13" s="4" t="n">
        <v>20</v>
      </c>
      <c r="E13" s="4" t="n">
        <v>20</v>
      </c>
      <c r="F13" s="4" t="s">
        <v>31</v>
      </c>
      <c r="G13" s="4" t="s">
        <v>32</v>
      </c>
      <c r="H13" s="4"/>
      <c r="I13" s="4"/>
      <c r="J13" s="4"/>
      <c r="K13" s="10" t="str">
        <f aca="false">IF(F13&lt;&gt;"결시","",IF(J13&lt;&gt;"",J13,IF(C13="수행평가",ROUND(E13*설정!$B$5,2),IF(I13="","평균 입력 필요",IFERROR(IF(COUNTIFS($A$6:$A$43,A13,$C$6:$C$43,"정기시험",$F$6:$F$43,"응시",$H$6:$H$43,"&lt;&gt;")&gt;0,MIN(E13,ROUND(SUMIFS($H$6:$H$43,$A$6:$A$43,A13,$C$6:$C$43,"정기시험",$F$6:$F$43,"응시",$H$6:$H$43,"&lt;&gt;")*I13/SUMIFS($I$6:$I$43,$A$6:$A$43,A13,$C$6:$C$43,"정기시험",$F$6:$F$43,"응시",$H$6:$H$43,"&lt;&gt;")*IF(G13="출석인정",설정!$B$4,설정!$B$3),2)),IF(COUNTIFS($A$6:$A$43,A13,$C$6:$C$43,"수행평가",$F$6:$F$43,"응시",$H$6:$H$43,"&lt;&gt;")&gt;0,MIN(E13,ROUND(SUMIFS($H$6:$H$43,$A$6:$A$43,A13,$C$6:$C$43,"수행평가",$F$6:$F$43,"응시",$H$6:$H$43,"&lt;&gt;")*I13/SUMIFS($I$6:$I$43,$A$6:$A$43,A13,$C$6:$C$43,"수행평가",$F$6:$F$43,"응시",$H$6:$H$43,"&lt;&gt;")*IF(G13="출석인정",설정!$B$4,설정!$B$3),2)),"위원회 심의")),"기준 시험 평균 입력 필요")))))</f>
        <v/>
      </c>
      <c r="L13" s="10" t="str">
        <f aca="false">IF(A13="","",IF(F13="결시",IF(ISNUMBER(K13),K13,""),IF(H13="","",H13)))</f>
        <v/>
      </c>
      <c r="M13" s="10" t="str">
        <f aca="false">IF(AND(ISNUMBER(L13),N(E13)&gt;0),L13/E13*D13,"")</f>
        <v/>
      </c>
      <c r="N13" s="11" t="str">
        <f aca="false">IF(F13&lt;&gt;"결시","",IF(J13&lt;&gt;"","직접 입력",IF(C13="수행평가","만점의 "&amp;TEXT(설정!$B$5,"0%")&amp;" (기본점수)",IF(COUNTIFS($A$6:$A$43,A13,$C$6:$C$43,"정기시험",$F$6:$F$43,"응시",$H$6:$H$43,"&lt;&gt;")&gt;0,"⑥-1 응시한 정기시험 기준 × "&amp;TEXT(IF(G13="출석인정",설정!$B$4,설정!$B$3),"0%"),IF(COUNTIFS($A$6:$A$43,A13,$C$6:$C$43,"수행평가",$F$6:$F$43,"응시",$H$6:$H$43,"&lt;&gt;")&gt;0,"⑥-2 응시한 수행평가 기준 × "&amp;TEXT(IF(G13="출석인정",설정!$B$4,설정!$B$3),"0%"),"⑧ 위원회 심의")))))</f>
        <v/>
      </c>
    </row>
    <row r="14" customFormat="false" ht="15" hidden="false" customHeight="false" outlineLevel="0" collapsed="false">
      <c r="A14" s="4" t="s">
        <v>9</v>
      </c>
      <c r="B14" s="4" t="s">
        <v>29</v>
      </c>
      <c r="C14" s="4" t="s">
        <v>30</v>
      </c>
      <c r="D14" s="4" t="n">
        <v>30</v>
      </c>
      <c r="E14" s="4" t="n">
        <v>100</v>
      </c>
      <c r="F14" s="4" t="s">
        <v>31</v>
      </c>
      <c r="G14" s="4" t="s">
        <v>32</v>
      </c>
      <c r="H14" s="4"/>
      <c r="I14" s="4"/>
      <c r="J14" s="4"/>
      <c r="K14" s="10" t="str">
        <f aca="false">IF(F14&lt;&gt;"결시","",IF(J14&lt;&gt;"",J14,IF(C14="수행평가",ROUND(E14*설정!$B$5,2),IF(I14="","평균 입력 필요",IFERROR(IF(COUNTIFS($A$6:$A$43,A14,$C$6:$C$43,"정기시험",$F$6:$F$43,"응시",$H$6:$H$43,"&lt;&gt;")&gt;0,MIN(E14,ROUND(SUMIFS($H$6:$H$43,$A$6:$A$43,A14,$C$6:$C$43,"정기시험",$F$6:$F$43,"응시",$H$6:$H$43,"&lt;&gt;")*I14/SUMIFS($I$6:$I$43,$A$6:$A$43,A14,$C$6:$C$43,"정기시험",$F$6:$F$43,"응시",$H$6:$H$43,"&lt;&gt;")*IF(G14="출석인정",설정!$B$4,설정!$B$3),2)),IF(COUNTIFS($A$6:$A$43,A14,$C$6:$C$43,"수행평가",$F$6:$F$43,"응시",$H$6:$H$43,"&lt;&gt;")&gt;0,MIN(E14,ROUND(SUMIFS($H$6:$H$43,$A$6:$A$43,A14,$C$6:$C$43,"수행평가",$F$6:$F$43,"응시",$H$6:$H$43,"&lt;&gt;")*I14/SUMIFS($I$6:$I$43,$A$6:$A$43,A14,$C$6:$C$43,"수행평가",$F$6:$F$43,"응시",$H$6:$H$43,"&lt;&gt;")*IF(G14="출석인정",설정!$B$4,설정!$B$3),2)),"위원회 심의")),"기준 시험 평균 입력 필요")))))</f>
        <v/>
      </c>
      <c r="L14" s="10" t="str">
        <f aca="false">IF(A14="","",IF(F14="결시",IF(ISNUMBER(K14),K14,""),IF(H14="","",H14)))</f>
        <v/>
      </c>
      <c r="M14" s="10" t="str">
        <f aca="false">IF(AND(ISNUMBER(L14),N(E14)&gt;0),L14/E14*D14,"")</f>
        <v/>
      </c>
      <c r="N14" s="11" t="str">
        <f aca="false">IF(F14&lt;&gt;"결시","",IF(J14&lt;&gt;"","직접 입력",IF(C14="수행평가","만점의 "&amp;TEXT(설정!$B$5,"0%")&amp;" (기본점수)",IF(COUNTIFS($A$6:$A$43,A14,$C$6:$C$43,"정기시험",$F$6:$F$43,"응시",$H$6:$H$43,"&lt;&gt;")&gt;0,"⑥-1 응시한 정기시험 기준 × "&amp;TEXT(IF(G14="출석인정",설정!$B$4,설정!$B$3),"0%"),IF(COUNTIFS($A$6:$A$43,A14,$C$6:$C$43,"수행평가",$F$6:$F$43,"응시",$H$6:$H$43,"&lt;&gt;")&gt;0,"⑥-2 응시한 수행평가 기준 × "&amp;TEXT(IF(G14="출석인정",설정!$B$4,설정!$B$3),"0%"),"⑧ 위원회 심의")))))</f>
        <v/>
      </c>
    </row>
    <row r="15" customFormat="false" ht="15" hidden="false" customHeight="false" outlineLevel="0" collapsed="false">
      <c r="A15" s="4" t="s">
        <v>9</v>
      </c>
      <c r="B15" s="4" t="s">
        <v>33</v>
      </c>
      <c r="C15" s="4" t="s">
        <v>30</v>
      </c>
      <c r="D15" s="4" t="n">
        <v>30</v>
      </c>
      <c r="E15" s="4" t="n">
        <v>100</v>
      </c>
      <c r="F15" s="4" t="s">
        <v>31</v>
      </c>
      <c r="G15" s="4" t="s">
        <v>32</v>
      </c>
      <c r="H15" s="4"/>
      <c r="I15" s="4"/>
      <c r="J15" s="4"/>
      <c r="K15" s="10" t="str">
        <f aca="false">IF(F15&lt;&gt;"결시","",IF(J15&lt;&gt;"",J15,IF(C15="수행평가",ROUND(E15*설정!$B$5,2),IF(I15="","평균 입력 필요",IFERROR(IF(COUNTIFS($A$6:$A$43,A15,$C$6:$C$43,"정기시험",$F$6:$F$43,"응시",$H$6:$H$43,"&lt;&gt;")&gt;0,MIN(E15,ROUND(SUMIFS($H$6:$H$43,$A$6:$A$43,A15,$C$6:$C$43,"정기시험",$F$6:$F$43,"응시",$H$6:$H$43,"&lt;&gt;")*I15/SUMIFS($I$6:$I$43,$A$6:$A$43,A15,$C$6:$C$43,"정기시험",$F$6:$F$43,"응시",$H$6:$H$43,"&lt;&gt;")*IF(G15="출석인정",설정!$B$4,설정!$B$3),2)),IF(COUNTIFS($A$6:$A$43,A15,$C$6:$C$43,"수행평가",$F$6:$F$43,"응시",$H$6:$H$43,"&lt;&gt;")&gt;0,MIN(E15,ROUND(SUMIFS($H$6:$H$43,$A$6:$A$43,A15,$C$6:$C$43,"수행평가",$F$6:$F$43,"응시",$H$6:$H$43,"&lt;&gt;")*I15/SUMIFS($I$6:$I$43,$A$6:$A$43,A15,$C$6:$C$43,"수행평가",$F$6:$F$43,"응시",$H$6:$H$43,"&lt;&gt;")*IF(G15="출석인정",설정!$B$4,설정!$B$3),2)),"위원회 심의")),"기준 시험 평균 입력 필요")))))</f>
        <v/>
      </c>
      <c r="L15" s="10" t="str">
        <f aca="false">IF(A15="","",IF(F15="결시",IF(ISNUMBER(K15),K15,""),IF(H15="","",H15)))</f>
        <v/>
      </c>
      <c r="M15" s="10" t="str">
        <f aca="false">IF(AND(ISNUMBER(L15),N(E15)&gt;0),L15/E15*D15,"")</f>
        <v/>
      </c>
      <c r="N15" s="11" t="str">
        <f aca="false">IF(F15&lt;&gt;"결시","",IF(J15&lt;&gt;"","직접 입력",IF(C15="수행평가","만점의 "&amp;TEXT(설정!$B$5,"0%")&amp;" (기본점수)",IF(COUNTIFS($A$6:$A$43,A15,$C$6:$C$43,"정기시험",$F$6:$F$43,"응시",$H$6:$H$43,"&lt;&gt;")&gt;0,"⑥-1 응시한 정기시험 기준 × "&amp;TEXT(IF(G15="출석인정",설정!$B$4,설정!$B$3),"0%"),IF(COUNTIFS($A$6:$A$43,A15,$C$6:$C$43,"수행평가",$F$6:$F$43,"응시",$H$6:$H$43,"&lt;&gt;")&gt;0,"⑥-2 응시한 수행평가 기준 × "&amp;TEXT(IF(G15="출석인정",설정!$B$4,설정!$B$3),"0%"),"⑧ 위원회 심의")))))</f>
        <v/>
      </c>
    </row>
    <row r="16" customFormat="false" ht="15" hidden="false" customHeight="false" outlineLevel="0" collapsed="false">
      <c r="A16" s="4" t="s">
        <v>9</v>
      </c>
      <c r="B16" s="4" t="s">
        <v>34</v>
      </c>
      <c r="C16" s="4" t="s">
        <v>35</v>
      </c>
      <c r="D16" s="4" t="n">
        <v>20</v>
      </c>
      <c r="E16" s="4" t="n">
        <v>20</v>
      </c>
      <c r="F16" s="4" t="s">
        <v>31</v>
      </c>
      <c r="G16" s="4" t="s">
        <v>32</v>
      </c>
      <c r="H16" s="4"/>
      <c r="I16" s="4"/>
      <c r="J16" s="4"/>
      <c r="K16" s="10" t="str">
        <f aca="false">IF(F16&lt;&gt;"결시","",IF(J16&lt;&gt;"",J16,IF(C16="수행평가",ROUND(E16*설정!$B$5,2),IF(I16="","평균 입력 필요",IFERROR(IF(COUNTIFS($A$6:$A$43,A16,$C$6:$C$43,"정기시험",$F$6:$F$43,"응시",$H$6:$H$43,"&lt;&gt;")&gt;0,MIN(E16,ROUND(SUMIFS($H$6:$H$43,$A$6:$A$43,A16,$C$6:$C$43,"정기시험",$F$6:$F$43,"응시",$H$6:$H$43,"&lt;&gt;")*I16/SUMIFS($I$6:$I$43,$A$6:$A$43,A16,$C$6:$C$43,"정기시험",$F$6:$F$43,"응시",$H$6:$H$43,"&lt;&gt;")*IF(G16="출석인정",설정!$B$4,설정!$B$3),2)),IF(COUNTIFS($A$6:$A$43,A16,$C$6:$C$43,"수행평가",$F$6:$F$43,"응시",$H$6:$H$43,"&lt;&gt;")&gt;0,MIN(E16,ROUND(SUMIFS($H$6:$H$43,$A$6:$A$43,A16,$C$6:$C$43,"수행평가",$F$6:$F$43,"응시",$H$6:$H$43,"&lt;&gt;")*I16/SUMIFS($I$6:$I$43,$A$6:$A$43,A16,$C$6:$C$43,"수행평가",$F$6:$F$43,"응시",$H$6:$H$43,"&lt;&gt;")*IF(G16="출석인정",설정!$B$4,설정!$B$3),2)),"위원회 심의")),"기준 시험 평균 입력 필요")))))</f>
        <v/>
      </c>
      <c r="L16" s="10" t="str">
        <f aca="false">IF(A16="","",IF(F16="결시",IF(ISNUMBER(K16),K16,""),IF(H16="","",H16)))</f>
        <v/>
      </c>
      <c r="M16" s="10" t="str">
        <f aca="false">IF(AND(ISNUMBER(L16),N(E16)&gt;0),L16/E16*D16,"")</f>
        <v/>
      </c>
      <c r="N16" s="11" t="str">
        <f aca="false">IF(F16&lt;&gt;"결시","",IF(J16&lt;&gt;"","직접 입력",IF(C16="수행평가","만점의 "&amp;TEXT(설정!$B$5,"0%")&amp;" (기본점수)",IF(COUNTIFS($A$6:$A$43,A16,$C$6:$C$43,"정기시험",$F$6:$F$43,"응시",$H$6:$H$43,"&lt;&gt;")&gt;0,"⑥-1 응시한 정기시험 기준 × "&amp;TEXT(IF(G16="출석인정",설정!$B$4,설정!$B$3),"0%"),IF(COUNTIFS($A$6:$A$43,A16,$C$6:$C$43,"수행평가",$F$6:$F$43,"응시",$H$6:$H$43,"&lt;&gt;")&gt;0,"⑥-2 응시한 수행평가 기준 × "&amp;TEXT(IF(G16="출석인정",설정!$B$4,설정!$B$3),"0%"),"⑧ 위원회 심의")))))</f>
        <v/>
      </c>
    </row>
    <row r="17" customFormat="false" ht="15" hidden="false" customHeight="false" outlineLevel="0" collapsed="false">
      <c r="A17" s="4" t="s">
        <v>9</v>
      </c>
      <c r="B17" s="4" t="s">
        <v>36</v>
      </c>
      <c r="C17" s="4" t="s">
        <v>35</v>
      </c>
      <c r="D17" s="4" t="n">
        <v>20</v>
      </c>
      <c r="E17" s="4" t="n">
        <v>20</v>
      </c>
      <c r="F17" s="4" t="s">
        <v>31</v>
      </c>
      <c r="G17" s="4" t="s">
        <v>32</v>
      </c>
      <c r="H17" s="4"/>
      <c r="I17" s="4"/>
      <c r="J17" s="4"/>
      <c r="K17" s="10" t="str">
        <f aca="false">IF(F17&lt;&gt;"결시","",IF(J17&lt;&gt;"",J17,IF(C17="수행평가",ROUND(E17*설정!$B$5,2),IF(I17="","평균 입력 필요",IFERROR(IF(COUNTIFS($A$6:$A$43,A17,$C$6:$C$43,"정기시험",$F$6:$F$43,"응시",$H$6:$H$43,"&lt;&gt;")&gt;0,MIN(E17,ROUND(SUMIFS($H$6:$H$43,$A$6:$A$43,A17,$C$6:$C$43,"정기시험",$F$6:$F$43,"응시",$H$6:$H$43,"&lt;&gt;")*I17/SUMIFS($I$6:$I$43,$A$6:$A$43,A17,$C$6:$C$43,"정기시험",$F$6:$F$43,"응시",$H$6:$H$43,"&lt;&gt;")*IF(G17="출석인정",설정!$B$4,설정!$B$3),2)),IF(COUNTIFS($A$6:$A$43,A17,$C$6:$C$43,"수행평가",$F$6:$F$43,"응시",$H$6:$H$43,"&lt;&gt;")&gt;0,MIN(E17,ROUND(SUMIFS($H$6:$H$43,$A$6:$A$43,A17,$C$6:$C$43,"수행평가",$F$6:$F$43,"응시",$H$6:$H$43,"&lt;&gt;")*I17/SUMIFS($I$6:$I$43,$A$6:$A$43,A17,$C$6:$C$43,"수행평가",$F$6:$F$43,"응시",$H$6:$H$43,"&lt;&gt;")*IF(G17="출석인정",설정!$B$4,설정!$B$3),2)),"위원회 심의")),"기준 시험 평균 입력 필요")))))</f>
        <v/>
      </c>
      <c r="L17" s="10" t="str">
        <f aca="false">IF(A17="","",IF(F17="결시",IF(ISNUMBER(K17),K17,""),IF(H17="","",H17)))</f>
        <v/>
      </c>
      <c r="M17" s="10" t="str">
        <f aca="false">IF(AND(ISNUMBER(L17),N(E17)&gt;0),L17/E17*D17,"")</f>
        <v/>
      </c>
      <c r="N17" s="11" t="str">
        <f aca="false">IF(F17&lt;&gt;"결시","",IF(J17&lt;&gt;"","직접 입력",IF(C17="수행평가","만점의 "&amp;TEXT(설정!$B$5,"0%")&amp;" (기본점수)",IF(COUNTIFS($A$6:$A$43,A17,$C$6:$C$43,"정기시험",$F$6:$F$43,"응시",$H$6:$H$43,"&lt;&gt;")&gt;0,"⑥-1 응시한 정기시험 기준 × "&amp;TEXT(IF(G17="출석인정",설정!$B$4,설정!$B$3),"0%"),IF(COUNTIFS($A$6:$A$43,A17,$C$6:$C$43,"수행평가",$F$6:$F$43,"응시",$H$6:$H$43,"&lt;&gt;")&gt;0,"⑥-2 응시한 수행평가 기준 × "&amp;TEXT(IF(G17="출석인정",설정!$B$4,설정!$B$3),"0%"),"⑧ 위원회 심의")))))</f>
        <v/>
      </c>
    </row>
    <row r="18" customFormat="false" ht="15" hidden="false" customHeight="false" outlineLevel="0" collapsed="false">
      <c r="A18" s="4" t="s">
        <v>10</v>
      </c>
      <c r="B18" s="4" t="s">
        <v>29</v>
      </c>
      <c r="C18" s="4" t="s">
        <v>30</v>
      </c>
      <c r="D18" s="4" t="n">
        <v>30</v>
      </c>
      <c r="E18" s="4" t="n">
        <v>100</v>
      </c>
      <c r="F18" s="4" t="s">
        <v>31</v>
      </c>
      <c r="G18" s="4" t="s">
        <v>32</v>
      </c>
      <c r="H18" s="4"/>
      <c r="I18" s="4"/>
      <c r="J18" s="4"/>
      <c r="K18" s="10" t="str">
        <f aca="false">IF(F18&lt;&gt;"결시","",IF(J18&lt;&gt;"",J18,IF(C18="수행평가",ROUND(E18*설정!$B$5,2),IF(I18="","평균 입력 필요",IFERROR(IF(COUNTIFS($A$6:$A$43,A18,$C$6:$C$43,"정기시험",$F$6:$F$43,"응시",$H$6:$H$43,"&lt;&gt;")&gt;0,MIN(E18,ROUND(SUMIFS($H$6:$H$43,$A$6:$A$43,A18,$C$6:$C$43,"정기시험",$F$6:$F$43,"응시",$H$6:$H$43,"&lt;&gt;")*I18/SUMIFS($I$6:$I$43,$A$6:$A$43,A18,$C$6:$C$43,"정기시험",$F$6:$F$43,"응시",$H$6:$H$43,"&lt;&gt;")*IF(G18="출석인정",설정!$B$4,설정!$B$3),2)),IF(COUNTIFS($A$6:$A$43,A18,$C$6:$C$43,"수행평가",$F$6:$F$43,"응시",$H$6:$H$43,"&lt;&gt;")&gt;0,MIN(E18,ROUND(SUMIFS($H$6:$H$43,$A$6:$A$43,A18,$C$6:$C$43,"수행평가",$F$6:$F$43,"응시",$H$6:$H$43,"&lt;&gt;")*I18/SUMIFS($I$6:$I$43,$A$6:$A$43,A18,$C$6:$C$43,"수행평가",$F$6:$F$43,"응시",$H$6:$H$43,"&lt;&gt;")*IF(G18="출석인정",설정!$B$4,설정!$B$3),2)),"위원회 심의")),"기준 시험 평균 입력 필요")))))</f>
        <v/>
      </c>
      <c r="L18" s="10" t="str">
        <f aca="false">IF(A18="","",IF(F18="결시",IF(ISNUMBER(K18),K18,""),IF(H18="","",H18)))</f>
        <v/>
      </c>
      <c r="M18" s="10" t="str">
        <f aca="false">IF(AND(ISNUMBER(L18),N(E18)&gt;0),L18/E18*D18,"")</f>
        <v/>
      </c>
      <c r="N18" s="11" t="str">
        <f aca="false">IF(F18&lt;&gt;"결시","",IF(J18&lt;&gt;"","직접 입력",IF(C18="수행평가","만점의 "&amp;TEXT(설정!$B$5,"0%")&amp;" (기본점수)",IF(COUNTIFS($A$6:$A$43,A18,$C$6:$C$43,"정기시험",$F$6:$F$43,"응시",$H$6:$H$43,"&lt;&gt;")&gt;0,"⑥-1 응시한 정기시험 기준 × "&amp;TEXT(IF(G18="출석인정",설정!$B$4,설정!$B$3),"0%"),IF(COUNTIFS($A$6:$A$43,A18,$C$6:$C$43,"수행평가",$F$6:$F$43,"응시",$H$6:$H$43,"&lt;&gt;")&gt;0,"⑥-2 응시한 수행평가 기준 × "&amp;TEXT(IF(G18="출석인정",설정!$B$4,설정!$B$3),"0%"),"⑧ 위원회 심의")))))</f>
        <v/>
      </c>
    </row>
    <row r="19" customFormat="false" ht="15" hidden="false" customHeight="false" outlineLevel="0" collapsed="false">
      <c r="A19" s="4" t="s">
        <v>10</v>
      </c>
      <c r="B19" s="4" t="s">
        <v>33</v>
      </c>
      <c r="C19" s="4" t="s">
        <v>30</v>
      </c>
      <c r="D19" s="4" t="n">
        <v>30</v>
      </c>
      <c r="E19" s="4" t="n">
        <v>100</v>
      </c>
      <c r="F19" s="4" t="s">
        <v>31</v>
      </c>
      <c r="G19" s="4" t="s">
        <v>32</v>
      </c>
      <c r="H19" s="4"/>
      <c r="I19" s="4"/>
      <c r="J19" s="4"/>
      <c r="K19" s="10" t="str">
        <f aca="false">IF(F19&lt;&gt;"결시","",IF(J19&lt;&gt;"",J19,IF(C19="수행평가",ROUND(E19*설정!$B$5,2),IF(I19="","평균 입력 필요",IFERROR(IF(COUNTIFS($A$6:$A$43,A19,$C$6:$C$43,"정기시험",$F$6:$F$43,"응시",$H$6:$H$43,"&lt;&gt;")&gt;0,MIN(E19,ROUND(SUMIFS($H$6:$H$43,$A$6:$A$43,A19,$C$6:$C$43,"정기시험",$F$6:$F$43,"응시",$H$6:$H$43,"&lt;&gt;")*I19/SUMIFS($I$6:$I$43,$A$6:$A$43,A19,$C$6:$C$43,"정기시험",$F$6:$F$43,"응시",$H$6:$H$43,"&lt;&gt;")*IF(G19="출석인정",설정!$B$4,설정!$B$3),2)),IF(COUNTIFS($A$6:$A$43,A19,$C$6:$C$43,"수행평가",$F$6:$F$43,"응시",$H$6:$H$43,"&lt;&gt;")&gt;0,MIN(E19,ROUND(SUMIFS($H$6:$H$43,$A$6:$A$43,A19,$C$6:$C$43,"수행평가",$F$6:$F$43,"응시",$H$6:$H$43,"&lt;&gt;")*I19/SUMIFS($I$6:$I$43,$A$6:$A$43,A19,$C$6:$C$43,"수행평가",$F$6:$F$43,"응시",$H$6:$H$43,"&lt;&gt;")*IF(G19="출석인정",설정!$B$4,설정!$B$3),2)),"위원회 심의")),"기준 시험 평균 입력 필요")))))</f>
        <v/>
      </c>
      <c r="L19" s="10" t="str">
        <f aca="false">IF(A19="","",IF(F19="결시",IF(ISNUMBER(K19),K19,""),IF(H19="","",H19)))</f>
        <v/>
      </c>
      <c r="M19" s="10" t="str">
        <f aca="false">IF(AND(ISNUMBER(L19),N(E19)&gt;0),L19/E19*D19,"")</f>
        <v/>
      </c>
      <c r="N19" s="11" t="str">
        <f aca="false">IF(F19&lt;&gt;"결시","",IF(J19&lt;&gt;"","직접 입력",IF(C19="수행평가","만점의 "&amp;TEXT(설정!$B$5,"0%")&amp;" (기본점수)",IF(COUNTIFS($A$6:$A$43,A19,$C$6:$C$43,"정기시험",$F$6:$F$43,"응시",$H$6:$H$43,"&lt;&gt;")&gt;0,"⑥-1 응시한 정기시험 기준 × "&amp;TEXT(IF(G19="출석인정",설정!$B$4,설정!$B$3),"0%"),IF(COUNTIFS($A$6:$A$43,A19,$C$6:$C$43,"수행평가",$F$6:$F$43,"응시",$H$6:$H$43,"&lt;&gt;")&gt;0,"⑥-2 응시한 수행평가 기준 × "&amp;TEXT(IF(G19="출석인정",설정!$B$4,설정!$B$3),"0%"),"⑧ 위원회 심의")))))</f>
        <v/>
      </c>
    </row>
    <row r="20" customFormat="false" ht="15" hidden="false" customHeight="false" outlineLevel="0" collapsed="false">
      <c r="A20" s="4" t="s">
        <v>10</v>
      </c>
      <c r="B20" s="4" t="s">
        <v>34</v>
      </c>
      <c r="C20" s="4" t="s">
        <v>35</v>
      </c>
      <c r="D20" s="4" t="n">
        <v>20</v>
      </c>
      <c r="E20" s="4" t="n">
        <v>20</v>
      </c>
      <c r="F20" s="4" t="s">
        <v>31</v>
      </c>
      <c r="G20" s="4" t="s">
        <v>32</v>
      </c>
      <c r="H20" s="4"/>
      <c r="I20" s="4"/>
      <c r="J20" s="4"/>
      <c r="K20" s="10" t="str">
        <f aca="false">IF(F20&lt;&gt;"결시","",IF(J20&lt;&gt;"",J20,IF(C20="수행평가",ROUND(E20*설정!$B$5,2),IF(I20="","평균 입력 필요",IFERROR(IF(COUNTIFS($A$6:$A$43,A20,$C$6:$C$43,"정기시험",$F$6:$F$43,"응시",$H$6:$H$43,"&lt;&gt;")&gt;0,MIN(E20,ROUND(SUMIFS($H$6:$H$43,$A$6:$A$43,A20,$C$6:$C$43,"정기시험",$F$6:$F$43,"응시",$H$6:$H$43,"&lt;&gt;")*I20/SUMIFS($I$6:$I$43,$A$6:$A$43,A20,$C$6:$C$43,"정기시험",$F$6:$F$43,"응시",$H$6:$H$43,"&lt;&gt;")*IF(G20="출석인정",설정!$B$4,설정!$B$3),2)),IF(COUNTIFS($A$6:$A$43,A20,$C$6:$C$43,"수행평가",$F$6:$F$43,"응시",$H$6:$H$43,"&lt;&gt;")&gt;0,MIN(E20,ROUND(SUMIFS($H$6:$H$43,$A$6:$A$43,A20,$C$6:$C$43,"수행평가",$F$6:$F$43,"응시",$H$6:$H$43,"&lt;&gt;")*I20/SUMIFS($I$6:$I$43,$A$6:$A$43,A20,$C$6:$C$43,"수행평가",$F$6:$F$43,"응시",$H$6:$H$43,"&lt;&gt;")*IF(G20="출석인정",설정!$B$4,설정!$B$3),2)),"위원회 심의")),"기준 시험 평균 입력 필요")))))</f>
        <v/>
      </c>
      <c r="L20" s="10" t="str">
        <f aca="false">IF(A20="","",IF(F20="결시",IF(ISNUMBER(K20),K20,""),IF(H20="","",H20)))</f>
        <v/>
      </c>
      <c r="M20" s="10" t="str">
        <f aca="false">IF(AND(ISNUMBER(L20),N(E20)&gt;0),L20/E20*D20,"")</f>
        <v/>
      </c>
      <c r="N20" s="11" t="str">
        <f aca="false">IF(F20&lt;&gt;"결시","",IF(J20&lt;&gt;"","직접 입력",IF(C20="수행평가","만점의 "&amp;TEXT(설정!$B$5,"0%")&amp;" (기본점수)",IF(COUNTIFS($A$6:$A$43,A20,$C$6:$C$43,"정기시험",$F$6:$F$43,"응시",$H$6:$H$43,"&lt;&gt;")&gt;0,"⑥-1 응시한 정기시험 기준 × "&amp;TEXT(IF(G20="출석인정",설정!$B$4,설정!$B$3),"0%"),IF(COUNTIFS($A$6:$A$43,A20,$C$6:$C$43,"수행평가",$F$6:$F$43,"응시",$H$6:$H$43,"&lt;&gt;")&gt;0,"⑥-2 응시한 수행평가 기준 × "&amp;TEXT(IF(G20="출석인정",설정!$B$4,설정!$B$3),"0%"),"⑧ 위원회 심의")))))</f>
        <v/>
      </c>
    </row>
    <row r="21" customFormat="false" ht="15" hidden="false" customHeight="false" outlineLevel="0" collapsed="false">
      <c r="A21" s="4" t="s">
        <v>10</v>
      </c>
      <c r="B21" s="4" t="s">
        <v>36</v>
      </c>
      <c r="C21" s="4" t="s">
        <v>35</v>
      </c>
      <c r="D21" s="4" t="n">
        <v>20</v>
      </c>
      <c r="E21" s="4" t="n">
        <v>20</v>
      </c>
      <c r="F21" s="4" t="s">
        <v>31</v>
      </c>
      <c r="G21" s="4" t="s">
        <v>32</v>
      </c>
      <c r="H21" s="4"/>
      <c r="I21" s="4"/>
      <c r="J21" s="4"/>
      <c r="K21" s="10" t="str">
        <f aca="false">IF(F21&lt;&gt;"결시","",IF(J21&lt;&gt;"",J21,IF(C21="수행평가",ROUND(E21*설정!$B$5,2),IF(I21="","평균 입력 필요",IFERROR(IF(COUNTIFS($A$6:$A$43,A21,$C$6:$C$43,"정기시험",$F$6:$F$43,"응시",$H$6:$H$43,"&lt;&gt;")&gt;0,MIN(E21,ROUND(SUMIFS($H$6:$H$43,$A$6:$A$43,A21,$C$6:$C$43,"정기시험",$F$6:$F$43,"응시",$H$6:$H$43,"&lt;&gt;")*I21/SUMIFS($I$6:$I$43,$A$6:$A$43,A21,$C$6:$C$43,"정기시험",$F$6:$F$43,"응시",$H$6:$H$43,"&lt;&gt;")*IF(G21="출석인정",설정!$B$4,설정!$B$3),2)),IF(COUNTIFS($A$6:$A$43,A21,$C$6:$C$43,"수행평가",$F$6:$F$43,"응시",$H$6:$H$43,"&lt;&gt;")&gt;0,MIN(E21,ROUND(SUMIFS($H$6:$H$43,$A$6:$A$43,A21,$C$6:$C$43,"수행평가",$F$6:$F$43,"응시",$H$6:$H$43,"&lt;&gt;")*I21/SUMIFS($I$6:$I$43,$A$6:$A$43,A21,$C$6:$C$43,"수행평가",$F$6:$F$43,"응시",$H$6:$H$43,"&lt;&gt;")*IF(G21="출석인정",설정!$B$4,설정!$B$3),2)),"위원회 심의")),"기준 시험 평균 입력 필요")))))</f>
        <v/>
      </c>
      <c r="L21" s="10" t="str">
        <f aca="false">IF(A21="","",IF(F21="결시",IF(ISNUMBER(K21),K21,""),IF(H21="","",H21)))</f>
        <v/>
      </c>
      <c r="M21" s="10" t="str">
        <f aca="false">IF(AND(ISNUMBER(L21),N(E21)&gt;0),L21/E21*D21,"")</f>
        <v/>
      </c>
      <c r="N21" s="11" t="str">
        <f aca="false">IF(F21&lt;&gt;"결시","",IF(J21&lt;&gt;"","직접 입력",IF(C21="수행평가","만점의 "&amp;TEXT(설정!$B$5,"0%")&amp;" (기본점수)",IF(COUNTIFS($A$6:$A$43,A21,$C$6:$C$43,"정기시험",$F$6:$F$43,"응시",$H$6:$H$43,"&lt;&gt;")&gt;0,"⑥-1 응시한 정기시험 기준 × "&amp;TEXT(IF(G21="출석인정",설정!$B$4,설정!$B$3),"0%"),IF(COUNTIFS($A$6:$A$43,A21,$C$6:$C$43,"수행평가",$F$6:$F$43,"응시",$H$6:$H$43,"&lt;&gt;")&gt;0,"⑥-2 응시한 수행평가 기준 × "&amp;TEXT(IF(G21="출석인정",설정!$B$4,설정!$B$3),"0%"),"⑧ 위원회 심의")))))</f>
        <v/>
      </c>
    </row>
    <row r="22" customFormat="false" ht="15" hidden="false" customHeight="false" outlineLevel="0" collapsed="false">
      <c r="A22" s="4" t="s">
        <v>11</v>
      </c>
      <c r="B22" s="4" t="s">
        <v>29</v>
      </c>
      <c r="C22" s="4" t="s">
        <v>30</v>
      </c>
      <c r="D22" s="4" t="n">
        <v>30</v>
      </c>
      <c r="E22" s="4" t="n">
        <v>100</v>
      </c>
      <c r="F22" s="4" t="s">
        <v>31</v>
      </c>
      <c r="G22" s="4" t="s">
        <v>32</v>
      </c>
      <c r="H22" s="4"/>
      <c r="I22" s="4"/>
      <c r="J22" s="4"/>
      <c r="K22" s="10" t="str">
        <f aca="false">IF(F22&lt;&gt;"결시","",IF(J22&lt;&gt;"",J22,IF(C22="수행평가",ROUND(E22*설정!$B$5,2),IF(I22="","평균 입력 필요",IFERROR(IF(COUNTIFS($A$6:$A$43,A22,$C$6:$C$43,"정기시험",$F$6:$F$43,"응시",$H$6:$H$43,"&lt;&gt;")&gt;0,MIN(E22,ROUND(SUMIFS($H$6:$H$43,$A$6:$A$43,A22,$C$6:$C$43,"정기시험",$F$6:$F$43,"응시",$H$6:$H$43,"&lt;&gt;")*I22/SUMIFS($I$6:$I$43,$A$6:$A$43,A22,$C$6:$C$43,"정기시험",$F$6:$F$43,"응시",$H$6:$H$43,"&lt;&gt;")*IF(G22="출석인정",설정!$B$4,설정!$B$3),2)),IF(COUNTIFS($A$6:$A$43,A22,$C$6:$C$43,"수행평가",$F$6:$F$43,"응시",$H$6:$H$43,"&lt;&gt;")&gt;0,MIN(E22,ROUND(SUMIFS($H$6:$H$43,$A$6:$A$43,A22,$C$6:$C$43,"수행평가",$F$6:$F$43,"응시",$H$6:$H$43,"&lt;&gt;")*I22/SUMIFS($I$6:$I$43,$A$6:$A$43,A22,$C$6:$C$43,"수행평가",$F$6:$F$43,"응시",$H$6:$H$43,"&lt;&gt;")*IF(G22="출석인정",설정!$B$4,설정!$B$3),2)),"위원회 심의")),"기준 시험 평균 입력 필요")))))</f>
        <v/>
      </c>
      <c r="L22" s="10" t="str">
        <f aca="false">IF(A22="","",IF(F22="결시",IF(ISNUMBER(K22),K22,""),IF(H22="","",H22)))</f>
        <v/>
      </c>
      <c r="M22" s="10" t="str">
        <f aca="false">IF(AND(ISNUMBER(L22),N(E22)&gt;0),L22/E22*D22,"")</f>
        <v/>
      </c>
      <c r="N22" s="11" t="str">
        <f aca="false">IF(F22&lt;&gt;"결시","",IF(J22&lt;&gt;"","직접 입력",IF(C22="수행평가","만점의 "&amp;TEXT(설정!$B$5,"0%")&amp;" (기본점수)",IF(COUNTIFS($A$6:$A$43,A22,$C$6:$C$43,"정기시험",$F$6:$F$43,"응시",$H$6:$H$43,"&lt;&gt;")&gt;0,"⑥-1 응시한 정기시험 기준 × "&amp;TEXT(IF(G22="출석인정",설정!$B$4,설정!$B$3),"0%"),IF(COUNTIFS($A$6:$A$43,A22,$C$6:$C$43,"수행평가",$F$6:$F$43,"응시",$H$6:$H$43,"&lt;&gt;")&gt;0,"⑥-2 응시한 수행평가 기준 × "&amp;TEXT(IF(G22="출석인정",설정!$B$4,설정!$B$3),"0%"),"⑧ 위원회 심의")))))</f>
        <v/>
      </c>
    </row>
    <row r="23" customFormat="false" ht="15" hidden="false" customHeight="false" outlineLevel="0" collapsed="false">
      <c r="A23" s="4" t="s">
        <v>11</v>
      </c>
      <c r="B23" s="4" t="s">
        <v>33</v>
      </c>
      <c r="C23" s="4" t="s">
        <v>30</v>
      </c>
      <c r="D23" s="4" t="n">
        <v>30</v>
      </c>
      <c r="E23" s="4" t="n">
        <v>100</v>
      </c>
      <c r="F23" s="4" t="s">
        <v>31</v>
      </c>
      <c r="G23" s="4" t="s">
        <v>32</v>
      </c>
      <c r="H23" s="4"/>
      <c r="I23" s="4"/>
      <c r="J23" s="4"/>
      <c r="K23" s="10" t="str">
        <f aca="false">IF(F23&lt;&gt;"결시","",IF(J23&lt;&gt;"",J23,IF(C23="수행평가",ROUND(E23*설정!$B$5,2),IF(I23="","평균 입력 필요",IFERROR(IF(COUNTIFS($A$6:$A$43,A23,$C$6:$C$43,"정기시험",$F$6:$F$43,"응시",$H$6:$H$43,"&lt;&gt;")&gt;0,MIN(E23,ROUND(SUMIFS($H$6:$H$43,$A$6:$A$43,A23,$C$6:$C$43,"정기시험",$F$6:$F$43,"응시",$H$6:$H$43,"&lt;&gt;")*I23/SUMIFS($I$6:$I$43,$A$6:$A$43,A23,$C$6:$C$43,"정기시험",$F$6:$F$43,"응시",$H$6:$H$43,"&lt;&gt;")*IF(G23="출석인정",설정!$B$4,설정!$B$3),2)),IF(COUNTIFS($A$6:$A$43,A23,$C$6:$C$43,"수행평가",$F$6:$F$43,"응시",$H$6:$H$43,"&lt;&gt;")&gt;0,MIN(E23,ROUND(SUMIFS($H$6:$H$43,$A$6:$A$43,A23,$C$6:$C$43,"수행평가",$F$6:$F$43,"응시",$H$6:$H$43,"&lt;&gt;")*I23/SUMIFS($I$6:$I$43,$A$6:$A$43,A23,$C$6:$C$43,"수행평가",$F$6:$F$43,"응시",$H$6:$H$43,"&lt;&gt;")*IF(G23="출석인정",설정!$B$4,설정!$B$3),2)),"위원회 심의")),"기준 시험 평균 입력 필요")))))</f>
        <v/>
      </c>
      <c r="L23" s="10" t="str">
        <f aca="false">IF(A23="","",IF(F23="결시",IF(ISNUMBER(K23),K23,""),IF(H23="","",H23)))</f>
        <v/>
      </c>
      <c r="M23" s="10" t="str">
        <f aca="false">IF(AND(ISNUMBER(L23),N(E23)&gt;0),L23/E23*D23,"")</f>
        <v/>
      </c>
      <c r="N23" s="11" t="str">
        <f aca="false">IF(F23&lt;&gt;"결시","",IF(J23&lt;&gt;"","직접 입력",IF(C23="수행평가","만점의 "&amp;TEXT(설정!$B$5,"0%")&amp;" (기본점수)",IF(COUNTIFS($A$6:$A$43,A23,$C$6:$C$43,"정기시험",$F$6:$F$43,"응시",$H$6:$H$43,"&lt;&gt;")&gt;0,"⑥-1 응시한 정기시험 기준 × "&amp;TEXT(IF(G23="출석인정",설정!$B$4,설정!$B$3),"0%"),IF(COUNTIFS($A$6:$A$43,A23,$C$6:$C$43,"수행평가",$F$6:$F$43,"응시",$H$6:$H$43,"&lt;&gt;")&gt;0,"⑥-2 응시한 수행평가 기준 × "&amp;TEXT(IF(G23="출석인정",설정!$B$4,설정!$B$3),"0%"),"⑧ 위원회 심의")))))</f>
        <v/>
      </c>
    </row>
    <row r="24" customFormat="false" ht="15" hidden="false" customHeight="false" outlineLevel="0" collapsed="false">
      <c r="A24" s="4" t="s">
        <v>11</v>
      </c>
      <c r="B24" s="4" t="s">
        <v>34</v>
      </c>
      <c r="C24" s="4" t="s">
        <v>35</v>
      </c>
      <c r="D24" s="4" t="n">
        <v>20</v>
      </c>
      <c r="E24" s="4" t="n">
        <v>20</v>
      </c>
      <c r="F24" s="4" t="s">
        <v>31</v>
      </c>
      <c r="G24" s="4" t="s">
        <v>32</v>
      </c>
      <c r="H24" s="4"/>
      <c r="I24" s="4"/>
      <c r="J24" s="4"/>
      <c r="K24" s="10" t="str">
        <f aca="false">IF(F24&lt;&gt;"결시","",IF(J24&lt;&gt;"",J24,IF(C24="수행평가",ROUND(E24*설정!$B$5,2),IF(I24="","평균 입력 필요",IFERROR(IF(COUNTIFS($A$6:$A$43,A24,$C$6:$C$43,"정기시험",$F$6:$F$43,"응시",$H$6:$H$43,"&lt;&gt;")&gt;0,MIN(E24,ROUND(SUMIFS($H$6:$H$43,$A$6:$A$43,A24,$C$6:$C$43,"정기시험",$F$6:$F$43,"응시",$H$6:$H$43,"&lt;&gt;")*I24/SUMIFS($I$6:$I$43,$A$6:$A$43,A24,$C$6:$C$43,"정기시험",$F$6:$F$43,"응시",$H$6:$H$43,"&lt;&gt;")*IF(G24="출석인정",설정!$B$4,설정!$B$3),2)),IF(COUNTIFS($A$6:$A$43,A24,$C$6:$C$43,"수행평가",$F$6:$F$43,"응시",$H$6:$H$43,"&lt;&gt;")&gt;0,MIN(E24,ROUND(SUMIFS($H$6:$H$43,$A$6:$A$43,A24,$C$6:$C$43,"수행평가",$F$6:$F$43,"응시",$H$6:$H$43,"&lt;&gt;")*I24/SUMIFS($I$6:$I$43,$A$6:$A$43,A24,$C$6:$C$43,"수행평가",$F$6:$F$43,"응시",$H$6:$H$43,"&lt;&gt;")*IF(G24="출석인정",설정!$B$4,설정!$B$3),2)),"위원회 심의")),"기준 시험 평균 입력 필요")))))</f>
        <v/>
      </c>
      <c r="L24" s="10" t="str">
        <f aca="false">IF(A24="","",IF(F24="결시",IF(ISNUMBER(K24),K24,""),IF(H24="","",H24)))</f>
        <v/>
      </c>
      <c r="M24" s="10" t="str">
        <f aca="false">IF(AND(ISNUMBER(L24),N(E24)&gt;0),L24/E24*D24,"")</f>
        <v/>
      </c>
      <c r="N24" s="11" t="str">
        <f aca="false">IF(F24&lt;&gt;"결시","",IF(J24&lt;&gt;"","직접 입력",IF(C24="수행평가","만점의 "&amp;TEXT(설정!$B$5,"0%")&amp;" (기본점수)",IF(COUNTIFS($A$6:$A$43,A24,$C$6:$C$43,"정기시험",$F$6:$F$43,"응시",$H$6:$H$43,"&lt;&gt;")&gt;0,"⑥-1 응시한 정기시험 기준 × "&amp;TEXT(IF(G24="출석인정",설정!$B$4,설정!$B$3),"0%"),IF(COUNTIFS($A$6:$A$43,A24,$C$6:$C$43,"수행평가",$F$6:$F$43,"응시",$H$6:$H$43,"&lt;&gt;")&gt;0,"⑥-2 응시한 수행평가 기준 × "&amp;TEXT(IF(G24="출석인정",설정!$B$4,설정!$B$3),"0%"),"⑧ 위원회 심의")))))</f>
        <v/>
      </c>
    </row>
    <row r="25" customFormat="false" ht="15" hidden="false" customHeight="false" outlineLevel="0" collapsed="false">
      <c r="A25" s="4" t="s">
        <v>11</v>
      </c>
      <c r="B25" s="4" t="s">
        <v>36</v>
      </c>
      <c r="C25" s="4" t="s">
        <v>35</v>
      </c>
      <c r="D25" s="4" t="n">
        <v>20</v>
      </c>
      <c r="E25" s="4" t="n">
        <v>20</v>
      </c>
      <c r="F25" s="4" t="s">
        <v>31</v>
      </c>
      <c r="G25" s="4" t="s">
        <v>32</v>
      </c>
      <c r="H25" s="4"/>
      <c r="I25" s="4"/>
      <c r="J25" s="4"/>
      <c r="K25" s="10" t="str">
        <f aca="false">IF(F25&lt;&gt;"결시","",IF(J25&lt;&gt;"",J25,IF(C25="수행평가",ROUND(E25*설정!$B$5,2),IF(I25="","평균 입력 필요",IFERROR(IF(COUNTIFS($A$6:$A$43,A25,$C$6:$C$43,"정기시험",$F$6:$F$43,"응시",$H$6:$H$43,"&lt;&gt;")&gt;0,MIN(E25,ROUND(SUMIFS($H$6:$H$43,$A$6:$A$43,A25,$C$6:$C$43,"정기시험",$F$6:$F$43,"응시",$H$6:$H$43,"&lt;&gt;")*I25/SUMIFS($I$6:$I$43,$A$6:$A$43,A25,$C$6:$C$43,"정기시험",$F$6:$F$43,"응시",$H$6:$H$43,"&lt;&gt;")*IF(G25="출석인정",설정!$B$4,설정!$B$3),2)),IF(COUNTIFS($A$6:$A$43,A25,$C$6:$C$43,"수행평가",$F$6:$F$43,"응시",$H$6:$H$43,"&lt;&gt;")&gt;0,MIN(E25,ROUND(SUMIFS($H$6:$H$43,$A$6:$A$43,A25,$C$6:$C$43,"수행평가",$F$6:$F$43,"응시",$H$6:$H$43,"&lt;&gt;")*I25/SUMIFS($I$6:$I$43,$A$6:$A$43,A25,$C$6:$C$43,"수행평가",$F$6:$F$43,"응시",$H$6:$H$43,"&lt;&gt;")*IF(G25="출석인정",설정!$B$4,설정!$B$3),2)),"위원회 심의")),"기준 시험 평균 입력 필요")))))</f>
        <v/>
      </c>
      <c r="L25" s="10" t="str">
        <f aca="false">IF(A25="","",IF(F25="결시",IF(ISNUMBER(K25),K25,""),IF(H25="","",H25)))</f>
        <v/>
      </c>
      <c r="M25" s="10" t="str">
        <f aca="false">IF(AND(ISNUMBER(L25),N(E25)&gt;0),L25/E25*D25,"")</f>
        <v/>
      </c>
      <c r="N25" s="11" t="str">
        <f aca="false">IF(F25&lt;&gt;"결시","",IF(J25&lt;&gt;"","직접 입력",IF(C25="수행평가","만점의 "&amp;TEXT(설정!$B$5,"0%")&amp;" (기본점수)",IF(COUNTIFS($A$6:$A$43,A25,$C$6:$C$43,"정기시험",$F$6:$F$43,"응시",$H$6:$H$43,"&lt;&gt;")&gt;0,"⑥-1 응시한 정기시험 기준 × "&amp;TEXT(IF(G25="출석인정",설정!$B$4,설정!$B$3),"0%"),IF(COUNTIFS($A$6:$A$43,A25,$C$6:$C$43,"수행평가",$F$6:$F$43,"응시",$H$6:$H$43,"&lt;&gt;")&gt;0,"⑥-2 응시한 수행평가 기준 × "&amp;TEXT(IF(G25="출석인정",설정!$B$4,설정!$B$3),"0%"),"⑧ 위원회 심의")))))</f>
        <v/>
      </c>
    </row>
    <row r="26" customFormat="false" ht="15" hidden="false" customHeight="false" outlineLevel="0" collapsed="false">
      <c r="A26" s="4" t="s">
        <v>12</v>
      </c>
      <c r="B26" s="4" t="s">
        <v>34</v>
      </c>
      <c r="C26" s="4" t="s">
        <v>35</v>
      </c>
      <c r="D26" s="4" t="n">
        <v>50</v>
      </c>
      <c r="E26" s="4" t="n">
        <v>50</v>
      </c>
      <c r="F26" s="4" t="s">
        <v>31</v>
      </c>
      <c r="G26" s="4" t="s">
        <v>32</v>
      </c>
      <c r="H26" s="4"/>
      <c r="I26" s="4"/>
      <c r="J26" s="4"/>
      <c r="K26" s="10" t="str">
        <f aca="false">IF(F26&lt;&gt;"결시","",IF(J26&lt;&gt;"",J26,IF(C26="수행평가",ROUND(E26*설정!$B$5,2),IF(I26="","평균 입력 필요",IFERROR(IF(COUNTIFS($A$6:$A$43,A26,$C$6:$C$43,"정기시험",$F$6:$F$43,"응시",$H$6:$H$43,"&lt;&gt;")&gt;0,MIN(E26,ROUND(SUMIFS($H$6:$H$43,$A$6:$A$43,A26,$C$6:$C$43,"정기시험",$F$6:$F$43,"응시",$H$6:$H$43,"&lt;&gt;")*I26/SUMIFS($I$6:$I$43,$A$6:$A$43,A26,$C$6:$C$43,"정기시험",$F$6:$F$43,"응시",$H$6:$H$43,"&lt;&gt;")*IF(G26="출석인정",설정!$B$4,설정!$B$3),2)),IF(COUNTIFS($A$6:$A$43,A26,$C$6:$C$43,"수행평가",$F$6:$F$43,"응시",$H$6:$H$43,"&lt;&gt;")&gt;0,MIN(E26,ROUND(SUMIFS($H$6:$H$43,$A$6:$A$43,A26,$C$6:$C$43,"수행평가",$F$6:$F$43,"응시",$H$6:$H$43,"&lt;&gt;")*I26/SUMIFS($I$6:$I$43,$A$6:$A$43,A26,$C$6:$C$43,"수행평가",$F$6:$F$43,"응시",$H$6:$H$43,"&lt;&gt;")*IF(G26="출석인정",설정!$B$4,설정!$B$3),2)),"위원회 심의")),"기준 시험 평균 입력 필요")))))</f>
        <v/>
      </c>
      <c r="L26" s="10" t="str">
        <f aca="false">IF(A26="","",IF(F26="결시",IF(ISNUMBER(K26),K26,""),IF(H26="","",H26)))</f>
        <v/>
      </c>
      <c r="M26" s="10" t="str">
        <f aca="false">IF(AND(ISNUMBER(L26),N(E26)&gt;0),L26/E26*D26,"")</f>
        <v/>
      </c>
      <c r="N26" s="11" t="str">
        <f aca="false">IF(F26&lt;&gt;"결시","",IF(J26&lt;&gt;"","직접 입력",IF(C26="수행평가","만점의 "&amp;TEXT(설정!$B$5,"0%")&amp;" (기본점수)",IF(COUNTIFS($A$6:$A$43,A26,$C$6:$C$43,"정기시험",$F$6:$F$43,"응시",$H$6:$H$43,"&lt;&gt;")&gt;0,"⑥-1 응시한 정기시험 기준 × "&amp;TEXT(IF(G26="출석인정",설정!$B$4,설정!$B$3),"0%"),IF(COUNTIFS($A$6:$A$43,A26,$C$6:$C$43,"수행평가",$F$6:$F$43,"응시",$H$6:$H$43,"&lt;&gt;")&gt;0,"⑥-2 응시한 수행평가 기준 × "&amp;TEXT(IF(G26="출석인정",설정!$B$4,설정!$B$3),"0%"),"⑧ 위원회 심의")))))</f>
        <v/>
      </c>
    </row>
    <row r="27" customFormat="false" ht="15" hidden="false" customHeight="false" outlineLevel="0" collapsed="false">
      <c r="A27" s="4" t="s">
        <v>12</v>
      </c>
      <c r="B27" s="4" t="s">
        <v>36</v>
      </c>
      <c r="C27" s="4" t="s">
        <v>35</v>
      </c>
      <c r="D27" s="4" t="n">
        <v>50</v>
      </c>
      <c r="E27" s="4" t="n">
        <v>50</v>
      </c>
      <c r="F27" s="4" t="s">
        <v>31</v>
      </c>
      <c r="G27" s="4" t="s">
        <v>32</v>
      </c>
      <c r="H27" s="4"/>
      <c r="I27" s="4"/>
      <c r="J27" s="4"/>
      <c r="K27" s="10" t="str">
        <f aca="false">IF(F27&lt;&gt;"결시","",IF(J27&lt;&gt;"",J27,IF(C27="수행평가",ROUND(E27*설정!$B$5,2),IF(I27="","평균 입력 필요",IFERROR(IF(COUNTIFS($A$6:$A$43,A27,$C$6:$C$43,"정기시험",$F$6:$F$43,"응시",$H$6:$H$43,"&lt;&gt;")&gt;0,MIN(E27,ROUND(SUMIFS($H$6:$H$43,$A$6:$A$43,A27,$C$6:$C$43,"정기시험",$F$6:$F$43,"응시",$H$6:$H$43,"&lt;&gt;")*I27/SUMIFS($I$6:$I$43,$A$6:$A$43,A27,$C$6:$C$43,"정기시험",$F$6:$F$43,"응시",$H$6:$H$43,"&lt;&gt;")*IF(G27="출석인정",설정!$B$4,설정!$B$3),2)),IF(COUNTIFS($A$6:$A$43,A27,$C$6:$C$43,"수행평가",$F$6:$F$43,"응시",$H$6:$H$43,"&lt;&gt;")&gt;0,MIN(E27,ROUND(SUMIFS($H$6:$H$43,$A$6:$A$43,A27,$C$6:$C$43,"수행평가",$F$6:$F$43,"응시",$H$6:$H$43,"&lt;&gt;")*I27/SUMIFS($I$6:$I$43,$A$6:$A$43,A27,$C$6:$C$43,"수행평가",$F$6:$F$43,"응시",$H$6:$H$43,"&lt;&gt;")*IF(G27="출석인정",설정!$B$4,설정!$B$3),2)),"위원회 심의")),"기준 시험 평균 입력 필요")))))</f>
        <v/>
      </c>
      <c r="L27" s="10" t="str">
        <f aca="false">IF(A27="","",IF(F27="결시",IF(ISNUMBER(K27),K27,""),IF(H27="","",H27)))</f>
        <v/>
      </c>
      <c r="M27" s="10" t="str">
        <f aca="false">IF(AND(ISNUMBER(L27),N(E27)&gt;0),L27/E27*D27,"")</f>
        <v/>
      </c>
      <c r="N27" s="11" t="str">
        <f aca="false">IF(F27&lt;&gt;"결시","",IF(J27&lt;&gt;"","직접 입력",IF(C27="수행평가","만점의 "&amp;TEXT(설정!$B$5,"0%")&amp;" (기본점수)",IF(COUNTIFS($A$6:$A$43,A27,$C$6:$C$43,"정기시험",$F$6:$F$43,"응시",$H$6:$H$43,"&lt;&gt;")&gt;0,"⑥-1 응시한 정기시험 기준 × "&amp;TEXT(IF(G27="출석인정",설정!$B$4,설정!$B$3),"0%"),IF(COUNTIFS($A$6:$A$43,A27,$C$6:$C$43,"수행평가",$F$6:$F$43,"응시",$H$6:$H$43,"&lt;&gt;")&gt;0,"⑥-2 응시한 수행평가 기준 × "&amp;TEXT(IF(G27="출석인정",설정!$B$4,설정!$B$3),"0%"),"⑧ 위원회 심의")))))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10" t="str">
        <f aca="false">IF(F28&lt;&gt;"결시","",IF(J28&lt;&gt;"",J28,IF(C28="수행평가",ROUND(E28*설정!$B$5,2),IF(I28="","평균 입력 필요",IFERROR(IF(COUNTIFS($A$6:$A$43,A28,$C$6:$C$43,"정기시험",$F$6:$F$43,"응시",$H$6:$H$43,"&lt;&gt;")&gt;0,MIN(E28,ROUND(SUMIFS($H$6:$H$43,$A$6:$A$43,A28,$C$6:$C$43,"정기시험",$F$6:$F$43,"응시",$H$6:$H$43,"&lt;&gt;")*I28/SUMIFS($I$6:$I$43,$A$6:$A$43,A28,$C$6:$C$43,"정기시험",$F$6:$F$43,"응시",$H$6:$H$43,"&lt;&gt;")*IF(G28="출석인정",설정!$B$4,설정!$B$3),2)),IF(COUNTIFS($A$6:$A$43,A28,$C$6:$C$43,"수행평가",$F$6:$F$43,"응시",$H$6:$H$43,"&lt;&gt;")&gt;0,MIN(E28,ROUND(SUMIFS($H$6:$H$43,$A$6:$A$43,A28,$C$6:$C$43,"수행평가",$F$6:$F$43,"응시",$H$6:$H$43,"&lt;&gt;")*I28/SUMIFS($I$6:$I$43,$A$6:$A$43,A28,$C$6:$C$43,"수행평가",$F$6:$F$43,"응시",$H$6:$H$43,"&lt;&gt;")*IF(G28="출석인정",설정!$B$4,설정!$B$3),2)),"위원회 심의")),"기준 시험 평균 입력 필요")))))</f>
        <v/>
      </c>
      <c r="L28" s="10" t="str">
        <f aca="false">IF(A28="","",IF(F28="결시",IF(ISNUMBER(K28),K28,""),IF(H28="","",H28)))</f>
        <v/>
      </c>
      <c r="M28" s="10" t="str">
        <f aca="false">IF(AND(ISNUMBER(L28),N(E28)&gt;0),L28/E28*D28,"")</f>
        <v/>
      </c>
      <c r="N28" s="11" t="str">
        <f aca="false">IF(F28&lt;&gt;"결시","",IF(J28&lt;&gt;"","직접 입력",IF(C28="수행평가","만점의 "&amp;TEXT(설정!$B$5,"0%")&amp;" (기본점수)",IF(COUNTIFS($A$6:$A$43,A28,$C$6:$C$43,"정기시험",$F$6:$F$43,"응시",$H$6:$H$43,"&lt;&gt;")&gt;0,"⑥-1 응시한 정기시험 기준 × "&amp;TEXT(IF(G28="출석인정",설정!$B$4,설정!$B$3),"0%"),IF(COUNTIFS($A$6:$A$43,A28,$C$6:$C$43,"수행평가",$F$6:$F$43,"응시",$H$6:$H$43,"&lt;&gt;")&gt;0,"⑥-2 응시한 수행평가 기준 × "&amp;TEXT(IF(G28="출석인정",설정!$B$4,설정!$B$3),"0%"),"⑧ 위원회 심의")))))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10" t="str">
        <f aca="false">IF(F29&lt;&gt;"결시","",IF(J29&lt;&gt;"",J29,IF(C29="수행평가",ROUND(E29*설정!$B$5,2),IF(I29="","평균 입력 필요",IFERROR(IF(COUNTIFS($A$6:$A$43,A29,$C$6:$C$43,"정기시험",$F$6:$F$43,"응시",$H$6:$H$43,"&lt;&gt;")&gt;0,MIN(E29,ROUND(SUMIFS($H$6:$H$43,$A$6:$A$43,A29,$C$6:$C$43,"정기시험",$F$6:$F$43,"응시",$H$6:$H$43,"&lt;&gt;")*I29/SUMIFS($I$6:$I$43,$A$6:$A$43,A29,$C$6:$C$43,"정기시험",$F$6:$F$43,"응시",$H$6:$H$43,"&lt;&gt;")*IF(G29="출석인정",설정!$B$4,설정!$B$3),2)),IF(COUNTIFS($A$6:$A$43,A29,$C$6:$C$43,"수행평가",$F$6:$F$43,"응시",$H$6:$H$43,"&lt;&gt;")&gt;0,MIN(E29,ROUND(SUMIFS($H$6:$H$43,$A$6:$A$43,A29,$C$6:$C$43,"수행평가",$F$6:$F$43,"응시",$H$6:$H$43,"&lt;&gt;")*I29/SUMIFS($I$6:$I$43,$A$6:$A$43,A29,$C$6:$C$43,"수행평가",$F$6:$F$43,"응시",$H$6:$H$43,"&lt;&gt;")*IF(G29="출석인정",설정!$B$4,설정!$B$3),2)),"위원회 심의")),"기준 시험 평균 입력 필요")))))</f>
        <v/>
      </c>
      <c r="L29" s="10" t="str">
        <f aca="false">IF(A29="","",IF(F29="결시",IF(ISNUMBER(K29),K29,""),IF(H29="","",H29)))</f>
        <v/>
      </c>
      <c r="M29" s="10" t="str">
        <f aca="false">IF(AND(ISNUMBER(L29),N(E29)&gt;0),L29/E29*D29,"")</f>
        <v/>
      </c>
      <c r="N29" s="11" t="str">
        <f aca="false">IF(F29&lt;&gt;"결시","",IF(J29&lt;&gt;"","직접 입력",IF(C29="수행평가","만점의 "&amp;TEXT(설정!$B$5,"0%")&amp;" (기본점수)",IF(COUNTIFS($A$6:$A$43,A29,$C$6:$C$43,"정기시험",$F$6:$F$43,"응시",$H$6:$H$43,"&lt;&gt;")&gt;0,"⑥-1 응시한 정기시험 기준 × "&amp;TEXT(IF(G29="출석인정",설정!$B$4,설정!$B$3),"0%"),IF(COUNTIFS($A$6:$A$43,A29,$C$6:$C$43,"수행평가",$F$6:$F$43,"응시",$H$6:$H$43,"&lt;&gt;")&gt;0,"⑥-2 응시한 수행평가 기준 × "&amp;TEXT(IF(G29="출석인정",설정!$B$4,설정!$B$3),"0%"),"⑧ 위원회 심의")))))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10" t="str">
        <f aca="false">IF(F30&lt;&gt;"결시","",IF(J30&lt;&gt;"",J30,IF(C30="수행평가",ROUND(E30*설정!$B$5,2),IF(I30="","평균 입력 필요",IFERROR(IF(COUNTIFS($A$6:$A$43,A30,$C$6:$C$43,"정기시험",$F$6:$F$43,"응시",$H$6:$H$43,"&lt;&gt;")&gt;0,MIN(E30,ROUND(SUMIFS($H$6:$H$43,$A$6:$A$43,A30,$C$6:$C$43,"정기시험",$F$6:$F$43,"응시",$H$6:$H$43,"&lt;&gt;")*I30/SUMIFS($I$6:$I$43,$A$6:$A$43,A30,$C$6:$C$43,"정기시험",$F$6:$F$43,"응시",$H$6:$H$43,"&lt;&gt;")*IF(G30="출석인정",설정!$B$4,설정!$B$3),2)),IF(COUNTIFS($A$6:$A$43,A30,$C$6:$C$43,"수행평가",$F$6:$F$43,"응시",$H$6:$H$43,"&lt;&gt;")&gt;0,MIN(E30,ROUND(SUMIFS($H$6:$H$43,$A$6:$A$43,A30,$C$6:$C$43,"수행평가",$F$6:$F$43,"응시",$H$6:$H$43,"&lt;&gt;")*I30/SUMIFS($I$6:$I$43,$A$6:$A$43,A30,$C$6:$C$43,"수행평가",$F$6:$F$43,"응시",$H$6:$H$43,"&lt;&gt;")*IF(G30="출석인정",설정!$B$4,설정!$B$3),2)),"위원회 심의")),"기준 시험 평균 입력 필요")))))</f>
        <v/>
      </c>
      <c r="L30" s="10" t="str">
        <f aca="false">IF(A30="","",IF(F30="결시",IF(ISNUMBER(K30),K30,""),IF(H30="","",H30)))</f>
        <v/>
      </c>
      <c r="M30" s="10" t="str">
        <f aca="false">IF(AND(ISNUMBER(L30),N(E30)&gt;0),L30/E30*D30,"")</f>
        <v/>
      </c>
      <c r="N30" s="11" t="str">
        <f aca="false">IF(F30&lt;&gt;"결시","",IF(J30&lt;&gt;"","직접 입력",IF(C30="수행평가","만점의 "&amp;TEXT(설정!$B$5,"0%")&amp;" (기본점수)",IF(COUNTIFS($A$6:$A$43,A30,$C$6:$C$43,"정기시험",$F$6:$F$43,"응시",$H$6:$H$43,"&lt;&gt;")&gt;0,"⑥-1 응시한 정기시험 기준 × "&amp;TEXT(IF(G30="출석인정",설정!$B$4,설정!$B$3),"0%"),IF(COUNTIFS($A$6:$A$43,A30,$C$6:$C$43,"수행평가",$F$6:$F$43,"응시",$H$6:$H$43,"&lt;&gt;")&gt;0,"⑥-2 응시한 수행평가 기준 × "&amp;TEXT(IF(G30="출석인정",설정!$B$4,설정!$B$3),"0%"),"⑧ 위원회 심의")))))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10" t="str">
        <f aca="false">IF(F31&lt;&gt;"결시","",IF(J31&lt;&gt;"",J31,IF(C31="수행평가",ROUND(E31*설정!$B$5,2),IF(I31="","평균 입력 필요",IFERROR(IF(COUNTIFS($A$6:$A$43,A31,$C$6:$C$43,"정기시험",$F$6:$F$43,"응시",$H$6:$H$43,"&lt;&gt;")&gt;0,MIN(E31,ROUND(SUMIFS($H$6:$H$43,$A$6:$A$43,A31,$C$6:$C$43,"정기시험",$F$6:$F$43,"응시",$H$6:$H$43,"&lt;&gt;")*I31/SUMIFS($I$6:$I$43,$A$6:$A$43,A31,$C$6:$C$43,"정기시험",$F$6:$F$43,"응시",$H$6:$H$43,"&lt;&gt;")*IF(G31="출석인정",설정!$B$4,설정!$B$3),2)),IF(COUNTIFS($A$6:$A$43,A31,$C$6:$C$43,"수행평가",$F$6:$F$43,"응시",$H$6:$H$43,"&lt;&gt;")&gt;0,MIN(E31,ROUND(SUMIFS($H$6:$H$43,$A$6:$A$43,A31,$C$6:$C$43,"수행평가",$F$6:$F$43,"응시",$H$6:$H$43,"&lt;&gt;")*I31/SUMIFS($I$6:$I$43,$A$6:$A$43,A31,$C$6:$C$43,"수행평가",$F$6:$F$43,"응시",$H$6:$H$43,"&lt;&gt;")*IF(G31="출석인정",설정!$B$4,설정!$B$3),2)),"위원회 심의")),"기준 시험 평균 입력 필요")))))</f>
        <v/>
      </c>
      <c r="L31" s="10" t="str">
        <f aca="false">IF(A31="","",IF(F31="결시",IF(ISNUMBER(K31),K31,""),IF(H31="","",H31)))</f>
        <v/>
      </c>
      <c r="M31" s="10" t="str">
        <f aca="false">IF(AND(ISNUMBER(L31),N(E31)&gt;0),L31/E31*D31,"")</f>
        <v/>
      </c>
      <c r="N31" s="11" t="str">
        <f aca="false">IF(F31&lt;&gt;"결시","",IF(J31&lt;&gt;"","직접 입력",IF(C31="수행평가","만점의 "&amp;TEXT(설정!$B$5,"0%")&amp;" (기본점수)",IF(COUNTIFS($A$6:$A$43,A31,$C$6:$C$43,"정기시험",$F$6:$F$43,"응시",$H$6:$H$43,"&lt;&gt;")&gt;0,"⑥-1 응시한 정기시험 기준 × "&amp;TEXT(IF(G31="출석인정",설정!$B$4,설정!$B$3),"0%"),IF(COUNTIFS($A$6:$A$43,A31,$C$6:$C$43,"수행평가",$F$6:$F$43,"응시",$H$6:$H$43,"&lt;&gt;")&gt;0,"⑥-2 응시한 수행평가 기준 × "&amp;TEXT(IF(G31="출석인정",설정!$B$4,설정!$B$3),"0%"),"⑧ 위원회 심의")))))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10" t="str">
        <f aca="false">IF(F32&lt;&gt;"결시","",IF(J32&lt;&gt;"",J32,IF(C32="수행평가",ROUND(E32*설정!$B$5,2),IF(I32="","평균 입력 필요",IFERROR(IF(COUNTIFS($A$6:$A$43,A32,$C$6:$C$43,"정기시험",$F$6:$F$43,"응시",$H$6:$H$43,"&lt;&gt;")&gt;0,MIN(E32,ROUND(SUMIFS($H$6:$H$43,$A$6:$A$43,A32,$C$6:$C$43,"정기시험",$F$6:$F$43,"응시",$H$6:$H$43,"&lt;&gt;")*I32/SUMIFS($I$6:$I$43,$A$6:$A$43,A32,$C$6:$C$43,"정기시험",$F$6:$F$43,"응시",$H$6:$H$43,"&lt;&gt;")*IF(G32="출석인정",설정!$B$4,설정!$B$3),2)),IF(COUNTIFS($A$6:$A$43,A32,$C$6:$C$43,"수행평가",$F$6:$F$43,"응시",$H$6:$H$43,"&lt;&gt;")&gt;0,MIN(E32,ROUND(SUMIFS($H$6:$H$43,$A$6:$A$43,A32,$C$6:$C$43,"수행평가",$F$6:$F$43,"응시",$H$6:$H$43,"&lt;&gt;")*I32/SUMIFS($I$6:$I$43,$A$6:$A$43,A32,$C$6:$C$43,"수행평가",$F$6:$F$43,"응시",$H$6:$H$43,"&lt;&gt;")*IF(G32="출석인정",설정!$B$4,설정!$B$3),2)),"위원회 심의")),"기준 시험 평균 입력 필요")))))</f>
        <v/>
      </c>
      <c r="L32" s="10" t="str">
        <f aca="false">IF(A32="","",IF(F32="결시",IF(ISNUMBER(K32),K32,""),IF(H32="","",H32)))</f>
        <v/>
      </c>
      <c r="M32" s="10" t="str">
        <f aca="false">IF(AND(ISNUMBER(L32),N(E32)&gt;0),L32/E32*D32,"")</f>
        <v/>
      </c>
      <c r="N32" s="11" t="str">
        <f aca="false">IF(F32&lt;&gt;"결시","",IF(J32&lt;&gt;"","직접 입력",IF(C32="수행평가","만점의 "&amp;TEXT(설정!$B$5,"0%")&amp;" (기본점수)",IF(COUNTIFS($A$6:$A$43,A32,$C$6:$C$43,"정기시험",$F$6:$F$43,"응시",$H$6:$H$43,"&lt;&gt;")&gt;0,"⑥-1 응시한 정기시험 기준 × "&amp;TEXT(IF(G32="출석인정",설정!$B$4,설정!$B$3),"0%"),IF(COUNTIFS($A$6:$A$43,A32,$C$6:$C$43,"수행평가",$F$6:$F$43,"응시",$H$6:$H$43,"&lt;&gt;")&gt;0,"⑥-2 응시한 수행평가 기준 × "&amp;TEXT(IF(G32="출석인정",설정!$B$4,설정!$B$3),"0%"),"⑧ 위원회 심의")))))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10" t="str">
        <f aca="false">IF(F33&lt;&gt;"결시","",IF(J33&lt;&gt;"",J33,IF(C33="수행평가",ROUND(E33*설정!$B$5,2),IF(I33="","평균 입력 필요",IFERROR(IF(COUNTIFS($A$6:$A$43,A33,$C$6:$C$43,"정기시험",$F$6:$F$43,"응시",$H$6:$H$43,"&lt;&gt;")&gt;0,MIN(E33,ROUND(SUMIFS($H$6:$H$43,$A$6:$A$43,A33,$C$6:$C$43,"정기시험",$F$6:$F$43,"응시",$H$6:$H$43,"&lt;&gt;")*I33/SUMIFS($I$6:$I$43,$A$6:$A$43,A33,$C$6:$C$43,"정기시험",$F$6:$F$43,"응시",$H$6:$H$43,"&lt;&gt;")*IF(G33="출석인정",설정!$B$4,설정!$B$3),2)),IF(COUNTIFS($A$6:$A$43,A33,$C$6:$C$43,"수행평가",$F$6:$F$43,"응시",$H$6:$H$43,"&lt;&gt;")&gt;0,MIN(E33,ROUND(SUMIFS($H$6:$H$43,$A$6:$A$43,A33,$C$6:$C$43,"수행평가",$F$6:$F$43,"응시",$H$6:$H$43,"&lt;&gt;")*I33/SUMIFS($I$6:$I$43,$A$6:$A$43,A33,$C$6:$C$43,"수행평가",$F$6:$F$43,"응시",$H$6:$H$43,"&lt;&gt;")*IF(G33="출석인정",설정!$B$4,설정!$B$3),2)),"위원회 심의")),"기준 시험 평균 입력 필요")))))</f>
        <v/>
      </c>
      <c r="L33" s="10" t="str">
        <f aca="false">IF(A33="","",IF(F33="결시",IF(ISNUMBER(K33),K33,""),IF(H33="","",H33)))</f>
        <v/>
      </c>
      <c r="M33" s="10" t="str">
        <f aca="false">IF(AND(ISNUMBER(L33),N(E33)&gt;0),L33/E33*D33,"")</f>
        <v/>
      </c>
      <c r="N33" s="11" t="str">
        <f aca="false">IF(F33&lt;&gt;"결시","",IF(J33&lt;&gt;"","직접 입력",IF(C33="수행평가","만점의 "&amp;TEXT(설정!$B$5,"0%")&amp;" (기본점수)",IF(COUNTIFS($A$6:$A$43,A33,$C$6:$C$43,"정기시험",$F$6:$F$43,"응시",$H$6:$H$43,"&lt;&gt;")&gt;0,"⑥-1 응시한 정기시험 기준 × "&amp;TEXT(IF(G33="출석인정",설정!$B$4,설정!$B$3),"0%"),IF(COUNTIFS($A$6:$A$43,A33,$C$6:$C$43,"수행평가",$F$6:$F$43,"응시",$H$6:$H$43,"&lt;&gt;")&gt;0,"⑥-2 응시한 수행평가 기준 × "&amp;TEXT(IF(G33="출석인정",설정!$B$4,설정!$B$3),"0%"),"⑧ 위원회 심의")))))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10" t="str">
        <f aca="false">IF(F34&lt;&gt;"결시","",IF(J34&lt;&gt;"",J34,IF(C34="수행평가",ROUND(E34*설정!$B$5,2),IF(I34="","평균 입력 필요",IFERROR(IF(COUNTIFS($A$6:$A$43,A34,$C$6:$C$43,"정기시험",$F$6:$F$43,"응시",$H$6:$H$43,"&lt;&gt;")&gt;0,MIN(E34,ROUND(SUMIFS($H$6:$H$43,$A$6:$A$43,A34,$C$6:$C$43,"정기시험",$F$6:$F$43,"응시",$H$6:$H$43,"&lt;&gt;")*I34/SUMIFS($I$6:$I$43,$A$6:$A$43,A34,$C$6:$C$43,"정기시험",$F$6:$F$43,"응시",$H$6:$H$43,"&lt;&gt;")*IF(G34="출석인정",설정!$B$4,설정!$B$3),2)),IF(COUNTIFS($A$6:$A$43,A34,$C$6:$C$43,"수행평가",$F$6:$F$43,"응시",$H$6:$H$43,"&lt;&gt;")&gt;0,MIN(E34,ROUND(SUMIFS($H$6:$H$43,$A$6:$A$43,A34,$C$6:$C$43,"수행평가",$F$6:$F$43,"응시",$H$6:$H$43,"&lt;&gt;")*I34/SUMIFS($I$6:$I$43,$A$6:$A$43,A34,$C$6:$C$43,"수행평가",$F$6:$F$43,"응시",$H$6:$H$43,"&lt;&gt;")*IF(G34="출석인정",설정!$B$4,설정!$B$3),2)),"위원회 심의")),"기준 시험 평균 입력 필요")))))</f>
        <v/>
      </c>
      <c r="L34" s="10" t="str">
        <f aca="false">IF(A34="","",IF(F34="결시",IF(ISNUMBER(K34),K34,""),IF(H34="","",H34)))</f>
        <v/>
      </c>
      <c r="M34" s="10" t="str">
        <f aca="false">IF(AND(ISNUMBER(L34),N(E34)&gt;0),L34/E34*D34,"")</f>
        <v/>
      </c>
      <c r="N34" s="11" t="str">
        <f aca="false">IF(F34&lt;&gt;"결시","",IF(J34&lt;&gt;"","직접 입력",IF(C34="수행평가","만점의 "&amp;TEXT(설정!$B$5,"0%")&amp;" (기본점수)",IF(COUNTIFS($A$6:$A$43,A34,$C$6:$C$43,"정기시험",$F$6:$F$43,"응시",$H$6:$H$43,"&lt;&gt;")&gt;0,"⑥-1 응시한 정기시험 기준 × "&amp;TEXT(IF(G34="출석인정",설정!$B$4,설정!$B$3),"0%"),IF(COUNTIFS($A$6:$A$43,A34,$C$6:$C$43,"수행평가",$F$6:$F$43,"응시",$H$6:$H$43,"&lt;&gt;")&gt;0,"⑥-2 응시한 수행평가 기준 × "&amp;TEXT(IF(G34="출석인정",설정!$B$4,설정!$B$3),"0%"),"⑧ 위원회 심의")))))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10" t="str">
        <f aca="false">IF(F35&lt;&gt;"결시","",IF(J35&lt;&gt;"",J35,IF(C35="수행평가",ROUND(E35*설정!$B$5,2),IF(I35="","평균 입력 필요",IFERROR(IF(COUNTIFS($A$6:$A$43,A35,$C$6:$C$43,"정기시험",$F$6:$F$43,"응시",$H$6:$H$43,"&lt;&gt;")&gt;0,MIN(E35,ROUND(SUMIFS($H$6:$H$43,$A$6:$A$43,A35,$C$6:$C$43,"정기시험",$F$6:$F$43,"응시",$H$6:$H$43,"&lt;&gt;")*I35/SUMIFS($I$6:$I$43,$A$6:$A$43,A35,$C$6:$C$43,"정기시험",$F$6:$F$43,"응시",$H$6:$H$43,"&lt;&gt;")*IF(G35="출석인정",설정!$B$4,설정!$B$3),2)),IF(COUNTIFS($A$6:$A$43,A35,$C$6:$C$43,"수행평가",$F$6:$F$43,"응시",$H$6:$H$43,"&lt;&gt;")&gt;0,MIN(E35,ROUND(SUMIFS($H$6:$H$43,$A$6:$A$43,A35,$C$6:$C$43,"수행평가",$F$6:$F$43,"응시",$H$6:$H$43,"&lt;&gt;")*I35/SUMIFS($I$6:$I$43,$A$6:$A$43,A35,$C$6:$C$43,"수행평가",$F$6:$F$43,"응시",$H$6:$H$43,"&lt;&gt;")*IF(G35="출석인정",설정!$B$4,설정!$B$3),2)),"위원회 심의")),"기준 시험 평균 입력 필요")))))</f>
        <v/>
      </c>
      <c r="L35" s="10" t="str">
        <f aca="false">IF(A35="","",IF(F35="결시",IF(ISNUMBER(K35),K35,""),IF(H35="","",H35)))</f>
        <v/>
      </c>
      <c r="M35" s="10" t="str">
        <f aca="false">IF(AND(ISNUMBER(L35),N(E35)&gt;0),L35/E35*D35,"")</f>
        <v/>
      </c>
      <c r="N35" s="11" t="str">
        <f aca="false">IF(F35&lt;&gt;"결시","",IF(J35&lt;&gt;"","직접 입력",IF(C35="수행평가","만점의 "&amp;TEXT(설정!$B$5,"0%")&amp;" (기본점수)",IF(COUNTIFS($A$6:$A$43,A35,$C$6:$C$43,"정기시험",$F$6:$F$43,"응시",$H$6:$H$43,"&lt;&gt;")&gt;0,"⑥-1 응시한 정기시험 기준 × "&amp;TEXT(IF(G35="출석인정",설정!$B$4,설정!$B$3),"0%"),IF(COUNTIFS($A$6:$A$43,A35,$C$6:$C$43,"수행평가",$F$6:$F$43,"응시",$H$6:$H$43,"&lt;&gt;")&gt;0,"⑥-2 응시한 수행평가 기준 × "&amp;TEXT(IF(G35="출석인정",설정!$B$4,설정!$B$3),"0%"),"⑧ 위원회 심의")))))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10" t="str">
        <f aca="false">IF(F36&lt;&gt;"결시","",IF(J36&lt;&gt;"",J36,IF(C36="수행평가",ROUND(E36*설정!$B$5,2),IF(I36="","평균 입력 필요",IFERROR(IF(COUNTIFS($A$6:$A$43,A36,$C$6:$C$43,"정기시험",$F$6:$F$43,"응시",$H$6:$H$43,"&lt;&gt;")&gt;0,MIN(E36,ROUND(SUMIFS($H$6:$H$43,$A$6:$A$43,A36,$C$6:$C$43,"정기시험",$F$6:$F$43,"응시",$H$6:$H$43,"&lt;&gt;")*I36/SUMIFS($I$6:$I$43,$A$6:$A$43,A36,$C$6:$C$43,"정기시험",$F$6:$F$43,"응시",$H$6:$H$43,"&lt;&gt;")*IF(G36="출석인정",설정!$B$4,설정!$B$3),2)),IF(COUNTIFS($A$6:$A$43,A36,$C$6:$C$43,"수행평가",$F$6:$F$43,"응시",$H$6:$H$43,"&lt;&gt;")&gt;0,MIN(E36,ROUND(SUMIFS($H$6:$H$43,$A$6:$A$43,A36,$C$6:$C$43,"수행평가",$F$6:$F$43,"응시",$H$6:$H$43,"&lt;&gt;")*I36/SUMIFS($I$6:$I$43,$A$6:$A$43,A36,$C$6:$C$43,"수행평가",$F$6:$F$43,"응시",$H$6:$H$43,"&lt;&gt;")*IF(G36="출석인정",설정!$B$4,설정!$B$3),2)),"위원회 심의")),"기준 시험 평균 입력 필요")))))</f>
        <v/>
      </c>
      <c r="L36" s="10" t="str">
        <f aca="false">IF(A36="","",IF(F36="결시",IF(ISNUMBER(K36),K36,""),IF(H36="","",H36)))</f>
        <v/>
      </c>
      <c r="M36" s="10" t="str">
        <f aca="false">IF(AND(ISNUMBER(L36),N(E36)&gt;0),L36/E36*D36,"")</f>
        <v/>
      </c>
      <c r="N36" s="11" t="str">
        <f aca="false">IF(F36&lt;&gt;"결시","",IF(J36&lt;&gt;"","직접 입력",IF(C36="수행평가","만점의 "&amp;TEXT(설정!$B$5,"0%")&amp;" (기본점수)",IF(COUNTIFS($A$6:$A$43,A36,$C$6:$C$43,"정기시험",$F$6:$F$43,"응시",$H$6:$H$43,"&lt;&gt;")&gt;0,"⑥-1 응시한 정기시험 기준 × "&amp;TEXT(IF(G36="출석인정",설정!$B$4,설정!$B$3),"0%"),IF(COUNTIFS($A$6:$A$43,A36,$C$6:$C$43,"수행평가",$F$6:$F$43,"응시",$H$6:$H$43,"&lt;&gt;")&gt;0,"⑥-2 응시한 수행평가 기준 × "&amp;TEXT(IF(G36="출석인정",설정!$B$4,설정!$B$3),"0%"),"⑧ 위원회 심의")))))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10" t="str">
        <f aca="false">IF(F37&lt;&gt;"결시","",IF(J37&lt;&gt;"",J37,IF(C37="수행평가",ROUND(E37*설정!$B$5,2),IF(I37="","평균 입력 필요",IFERROR(IF(COUNTIFS($A$6:$A$43,A37,$C$6:$C$43,"정기시험",$F$6:$F$43,"응시",$H$6:$H$43,"&lt;&gt;")&gt;0,MIN(E37,ROUND(SUMIFS($H$6:$H$43,$A$6:$A$43,A37,$C$6:$C$43,"정기시험",$F$6:$F$43,"응시",$H$6:$H$43,"&lt;&gt;")*I37/SUMIFS($I$6:$I$43,$A$6:$A$43,A37,$C$6:$C$43,"정기시험",$F$6:$F$43,"응시",$H$6:$H$43,"&lt;&gt;")*IF(G37="출석인정",설정!$B$4,설정!$B$3),2)),IF(COUNTIFS($A$6:$A$43,A37,$C$6:$C$43,"수행평가",$F$6:$F$43,"응시",$H$6:$H$43,"&lt;&gt;")&gt;0,MIN(E37,ROUND(SUMIFS($H$6:$H$43,$A$6:$A$43,A37,$C$6:$C$43,"수행평가",$F$6:$F$43,"응시",$H$6:$H$43,"&lt;&gt;")*I37/SUMIFS($I$6:$I$43,$A$6:$A$43,A37,$C$6:$C$43,"수행평가",$F$6:$F$43,"응시",$H$6:$H$43,"&lt;&gt;")*IF(G37="출석인정",설정!$B$4,설정!$B$3),2)),"위원회 심의")),"기준 시험 평균 입력 필요")))))</f>
        <v/>
      </c>
      <c r="L37" s="10" t="str">
        <f aca="false">IF(A37="","",IF(F37="결시",IF(ISNUMBER(K37),K37,""),IF(H37="","",H37)))</f>
        <v/>
      </c>
      <c r="M37" s="10" t="str">
        <f aca="false">IF(AND(ISNUMBER(L37),N(E37)&gt;0),L37/E37*D37,"")</f>
        <v/>
      </c>
      <c r="N37" s="11" t="str">
        <f aca="false">IF(F37&lt;&gt;"결시","",IF(J37&lt;&gt;"","직접 입력",IF(C37="수행평가","만점의 "&amp;TEXT(설정!$B$5,"0%")&amp;" (기본점수)",IF(COUNTIFS($A$6:$A$43,A37,$C$6:$C$43,"정기시험",$F$6:$F$43,"응시",$H$6:$H$43,"&lt;&gt;")&gt;0,"⑥-1 응시한 정기시험 기준 × "&amp;TEXT(IF(G37="출석인정",설정!$B$4,설정!$B$3),"0%"),IF(COUNTIFS($A$6:$A$43,A37,$C$6:$C$43,"수행평가",$F$6:$F$43,"응시",$H$6:$H$43,"&lt;&gt;")&gt;0,"⑥-2 응시한 수행평가 기준 × "&amp;TEXT(IF(G37="출석인정",설정!$B$4,설정!$B$3),"0%"),"⑧ 위원회 심의")))))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10" t="str">
        <f aca="false">IF(F38&lt;&gt;"결시","",IF(J38&lt;&gt;"",J38,IF(C38="수행평가",ROUND(E38*설정!$B$5,2),IF(I38="","평균 입력 필요",IFERROR(IF(COUNTIFS($A$6:$A$43,A38,$C$6:$C$43,"정기시험",$F$6:$F$43,"응시",$H$6:$H$43,"&lt;&gt;")&gt;0,MIN(E38,ROUND(SUMIFS($H$6:$H$43,$A$6:$A$43,A38,$C$6:$C$43,"정기시험",$F$6:$F$43,"응시",$H$6:$H$43,"&lt;&gt;")*I38/SUMIFS($I$6:$I$43,$A$6:$A$43,A38,$C$6:$C$43,"정기시험",$F$6:$F$43,"응시",$H$6:$H$43,"&lt;&gt;")*IF(G38="출석인정",설정!$B$4,설정!$B$3),2)),IF(COUNTIFS($A$6:$A$43,A38,$C$6:$C$43,"수행평가",$F$6:$F$43,"응시",$H$6:$H$43,"&lt;&gt;")&gt;0,MIN(E38,ROUND(SUMIFS($H$6:$H$43,$A$6:$A$43,A38,$C$6:$C$43,"수행평가",$F$6:$F$43,"응시",$H$6:$H$43,"&lt;&gt;")*I38/SUMIFS($I$6:$I$43,$A$6:$A$43,A38,$C$6:$C$43,"수행평가",$F$6:$F$43,"응시",$H$6:$H$43,"&lt;&gt;")*IF(G38="출석인정",설정!$B$4,설정!$B$3),2)),"위원회 심의")),"기준 시험 평균 입력 필요")))))</f>
        <v/>
      </c>
      <c r="L38" s="10" t="str">
        <f aca="false">IF(A38="","",IF(F38="결시",IF(ISNUMBER(K38),K38,""),IF(H38="","",H38)))</f>
        <v/>
      </c>
      <c r="M38" s="10" t="str">
        <f aca="false">IF(AND(ISNUMBER(L38),N(E38)&gt;0),L38/E38*D38,"")</f>
        <v/>
      </c>
      <c r="N38" s="11" t="str">
        <f aca="false">IF(F38&lt;&gt;"결시","",IF(J38&lt;&gt;"","직접 입력",IF(C38="수행평가","만점의 "&amp;TEXT(설정!$B$5,"0%")&amp;" (기본점수)",IF(COUNTIFS($A$6:$A$43,A38,$C$6:$C$43,"정기시험",$F$6:$F$43,"응시",$H$6:$H$43,"&lt;&gt;")&gt;0,"⑥-1 응시한 정기시험 기준 × "&amp;TEXT(IF(G38="출석인정",설정!$B$4,설정!$B$3),"0%"),IF(COUNTIFS($A$6:$A$43,A38,$C$6:$C$43,"수행평가",$F$6:$F$43,"응시",$H$6:$H$43,"&lt;&gt;")&gt;0,"⑥-2 응시한 수행평가 기준 × "&amp;TEXT(IF(G38="출석인정",설정!$B$4,설정!$B$3),"0%"),"⑧ 위원회 심의")))))</f>
        <v/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10" t="str">
        <f aca="false">IF(F39&lt;&gt;"결시","",IF(J39&lt;&gt;"",J39,IF(C39="수행평가",ROUND(E39*설정!$B$5,2),IF(I39="","평균 입력 필요",IFERROR(IF(COUNTIFS($A$6:$A$43,A39,$C$6:$C$43,"정기시험",$F$6:$F$43,"응시",$H$6:$H$43,"&lt;&gt;")&gt;0,MIN(E39,ROUND(SUMIFS($H$6:$H$43,$A$6:$A$43,A39,$C$6:$C$43,"정기시험",$F$6:$F$43,"응시",$H$6:$H$43,"&lt;&gt;")*I39/SUMIFS($I$6:$I$43,$A$6:$A$43,A39,$C$6:$C$43,"정기시험",$F$6:$F$43,"응시",$H$6:$H$43,"&lt;&gt;")*IF(G39="출석인정",설정!$B$4,설정!$B$3),2)),IF(COUNTIFS($A$6:$A$43,A39,$C$6:$C$43,"수행평가",$F$6:$F$43,"응시",$H$6:$H$43,"&lt;&gt;")&gt;0,MIN(E39,ROUND(SUMIFS($H$6:$H$43,$A$6:$A$43,A39,$C$6:$C$43,"수행평가",$F$6:$F$43,"응시",$H$6:$H$43,"&lt;&gt;")*I39/SUMIFS($I$6:$I$43,$A$6:$A$43,A39,$C$6:$C$43,"수행평가",$F$6:$F$43,"응시",$H$6:$H$43,"&lt;&gt;")*IF(G39="출석인정",설정!$B$4,설정!$B$3),2)),"위원회 심의")),"기준 시험 평균 입력 필요")))))</f>
        <v/>
      </c>
      <c r="L39" s="10" t="str">
        <f aca="false">IF(A39="","",IF(F39="결시",IF(ISNUMBER(K39),K39,""),IF(H39="","",H39)))</f>
        <v/>
      </c>
      <c r="M39" s="10" t="str">
        <f aca="false">IF(AND(ISNUMBER(L39),N(E39)&gt;0),L39/E39*D39,"")</f>
        <v/>
      </c>
      <c r="N39" s="11" t="str">
        <f aca="false">IF(F39&lt;&gt;"결시","",IF(J39&lt;&gt;"","직접 입력",IF(C39="수행평가","만점의 "&amp;TEXT(설정!$B$5,"0%")&amp;" (기본점수)",IF(COUNTIFS($A$6:$A$43,A39,$C$6:$C$43,"정기시험",$F$6:$F$43,"응시",$H$6:$H$43,"&lt;&gt;")&gt;0,"⑥-1 응시한 정기시험 기준 × "&amp;TEXT(IF(G39="출석인정",설정!$B$4,설정!$B$3),"0%"),IF(COUNTIFS($A$6:$A$43,A39,$C$6:$C$43,"수행평가",$F$6:$F$43,"응시",$H$6:$H$43,"&lt;&gt;")&gt;0,"⑥-2 응시한 수행평가 기준 × "&amp;TEXT(IF(G39="출석인정",설정!$B$4,설정!$B$3),"0%"),"⑧ 위원회 심의")))))</f>
        <v/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10" t="str">
        <f aca="false">IF(F40&lt;&gt;"결시","",IF(J40&lt;&gt;"",J40,IF(C40="수행평가",ROUND(E40*설정!$B$5,2),IF(I40="","평균 입력 필요",IFERROR(IF(COUNTIFS($A$6:$A$43,A40,$C$6:$C$43,"정기시험",$F$6:$F$43,"응시",$H$6:$H$43,"&lt;&gt;")&gt;0,MIN(E40,ROUND(SUMIFS($H$6:$H$43,$A$6:$A$43,A40,$C$6:$C$43,"정기시험",$F$6:$F$43,"응시",$H$6:$H$43,"&lt;&gt;")*I40/SUMIFS($I$6:$I$43,$A$6:$A$43,A40,$C$6:$C$43,"정기시험",$F$6:$F$43,"응시",$H$6:$H$43,"&lt;&gt;")*IF(G40="출석인정",설정!$B$4,설정!$B$3),2)),IF(COUNTIFS($A$6:$A$43,A40,$C$6:$C$43,"수행평가",$F$6:$F$43,"응시",$H$6:$H$43,"&lt;&gt;")&gt;0,MIN(E40,ROUND(SUMIFS($H$6:$H$43,$A$6:$A$43,A40,$C$6:$C$43,"수행평가",$F$6:$F$43,"응시",$H$6:$H$43,"&lt;&gt;")*I40/SUMIFS($I$6:$I$43,$A$6:$A$43,A40,$C$6:$C$43,"수행평가",$F$6:$F$43,"응시",$H$6:$H$43,"&lt;&gt;")*IF(G40="출석인정",설정!$B$4,설정!$B$3),2)),"위원회 심의")),"기준 시험 평균 입력 필요")))))</f>
        <v/>
      </c>
      <c r="L40" s="10" t="str">
        <f aca="false">IF(A40="","",IF(F40="결시",IF(ISNUMBER(K40),K40,""),IF(H40="","",H40)))</f>
        <v/>
      </c>
      <c r="M40" s="10" t="str">
        <f aca="false">IF(AND(ISNUMBER(L40),N(E40)&gt;0),L40/E40*D40,"")</f>
        <v/>
      </c>
      <c r="N40" s="11" t="str">
        <f aca="false">IF(F40&lt;&gt;"결시","",IF(J40&lt;&gt;"","직접 입력",IF(C40="수행평가","만점의 "&amp;TEXT(설정!$B$5,"0%")&amp;" (기본점수)",IF(COUNTIFS($A$6:$A$43,A40,$C$6:$C$43,"정기시험",$F$6:$F$43,"응시",$H$6:$H$43,"&lt;&gt;")&gt;0,"⑥-1 응시한 정기시험 기준 × "&amp;TEXT(IF(G40="출석인정",설정!$B$4,설정!$B$3),"0%"),IF(COUNTIFS($A$6:$A$43,A40,$C$6:$C$43,"수행평가",$F$6:$F$43,"응시",$H$6:$H$43,"&lt;&gt;")&gt;0,"⑥-2 응시한 수행평가 기준 × "&amp;TEXT(IF(G40="출석인정",설정!$B$4,설정!$B$3),"0%"),"⑧ 위원회 심의")))))</f>
        <v/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10" t="str">
        <f aca="false">IF(F41&lt;&gt;"결시","",IF(J41&lt;&gt;"",J41,IF(C41="수행평가",ROUND(E41*설정!$B$5,2),IF(I41="","평균 입력 필요",IFERROR(IF(COUNTIFS($A$6:$A$43,A41,$C$6:$C$43,"정기시험",$F$6:$F$43,"응시",$H$6:$H$43,"&lt;&gt;")&gt;0,MIN(E41,ROUND(SUMIFS($H$6:$H$43,$A$6:$A$43,A41,$C$6:$C$43,"정기시험",$F$6:$F$43,"응시",$H$6:$H$43,"&lt;&gt;")*I41/SUMIFS($I$6:$I$43,$A$6:$A$43,A41,$C$6:$C$43,"정기시험",$F$6:$F$43,"응시",$H$6:$H$43,"&lt;&gt;")*IF(G41="출석인정",설정!$B$4,설정!$B$3),2)),IF(COUNTIFS($A$6:$A$43,A41,$C$6:$C$43,"수행평가",$F$6:$F$43,"응시",$H$6:$H$43,"&lt;&gt;")&gt;0,MIN(E41,ROUND(SUMIFS($H$6:$H$43,$A$6:$A$43,A41,$C$6:$C$43,"수행평가",$F$6:$F$43,"응시",$H$6:$H$43,"&lt;&gt;")*I41/SUMIFS($I$6:$I$43,$A$6:$A$43,A41,$C$6:$C$43,"수행평가",$F$6:$F$43,"응시",$H$6:$H$43,"&lt;&gt;")*IF(G41="출석인정",설정!$B$4,설정!$B$3),2)),"위원회 심의")),"기준 시험 평균 입력 필요")))))</f>
        <v/>
      </c>
      <c r="L41" s="10" t="str">
        <f aca="false">IF(A41="","",IF(F41="결시",IF(ISNUMBER(K41),K41,""),IF(H41="","",H41)))</f>
        <v/>
      </c>
      <c r="M41" s="10" t="str">
        <f aca="false">IF(AND(ISNUMBER(L41),N(E41)&gt;0),L41/E41*D41,"")</f>
        <v/>
      </c>
      <c r="N41" s="11" t="str">
        <f aca="false">IF(F41&lt;&gt;"결시","",IF(J41&lt;&gt;"","직접 입력",IF(C41="수행평가","만점의 "&amp;TEXT(설정!$B$5,"0%")&amp;" (기본점수)",IF(COUNTIFS($A$6:$A$43,A41,$C$6:$C$43,"정기시험",$F$6:$F$43,"응시",$H$6:$H$43,"&lt;&gt;")&gt;0,"⑥-1 응시한 정기시험 기준 × "&amp;TEXT(IF(G41="출석인정",설정!$B$4,설정!$B$3),"0%"),IF(COUNTIFS($A$6:$A$43,A41,$C$6:$C$43,"수행평가",$F$6:$F$43,"응시",$H$6:$H$43,"&lt;&gt;")&gt;0,"⑥-2 응시한 수행평가 기준 × "&amp;TEXT(IF(G41="출석인정",설정!$B$4,설정!$B$3),"0%"),"⑧ 위원회 심의")))))</f>
        <v/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10" t="str">
        <f aca="false">IF(F42&lt;&gt;"결시","",IF(J42&lt;&gt;"",J42,IF(C42="수행평가",ROUND(E42*설정!$B$5,2),IF(I42="","평균 입력 필요",IFERROR(IF(COUNTIFS($A$6:$A$43,A42,$C$6:$C$43,"정기시험",$F$6:$F$43,"응시",$H$6:$H$43,"&lt;&gt;")&gt;0,MIN(E42,ROUND(SUMIFS($H$6:$H$43,$A$6:$A$43,A42,$C$6:$C$43,"정기시험",$F$6:$F$43,"응시",$H$6:$H$43,"&lt;&gt;")*I42/SUMIFS($I$6:$I$43,$A$6:$A$43,A42,$C$6:$C$43,"정기시험",$F$6:$F$43,"응시",$H$6:$H$43,"&lt;&gt;")*IF(G42="출석인정",설정!$B$4,설정!$B$3),2)),IF(COUNTIFS($A$6:$A$43,A42,$C$6:$C$43,"수행평가",$F$6:$F$43,"응시",$H$6:$H$43,"&lt;&gt;")&gt;0,MIN(E42,ROUND(SUMIFS($H$6:$H$43,$A$6:$A$43,A42,$C$6:$C$43,"수행평가",$F$6:$F$43,"응시",$H$6:$H$43,"&lt;&gt;")*I42/SUMIFS($I$6:$I$43,$A$6:$A$43,A42,$C$6:$C$43,"수행평가",$F$6:$F$43,"응시",$H$6:$H$43,"&lt;&gt;")*IF(G42="출석인정",설정!$B$4,설정!$B$3),2)),"위원회 심의")),"기준 시험 평균 입력 필요")))))</f>
        <v/>
      </c>
      <c r="L42" s="10" t="str">
        <f aca="false">IF(A42="","",IF(F42="결시",IF(ISNUMBER(K42),K42,""),IF(H42="","",H42)))</f>
        <v/>
      </c>
      <c r="M42" s="10" t="str">
        <f aca="false">IF(AND(ISNUMBER(L42),N(E42)&gt;0),L42/E42*D42,"")</f>
        <v/>
      </c>
      <c r="N42" s="11" t="str">
        <f aca="false">IF(F42&lt;&gt;"결시","",IF(J42&lt;&gt;"","직접 입력",IF(C42="수행평가","만점의 "&amp;TEXT(설정!$B$5,"0%")&amp;" (기본점수)",IF(COUNTIFS($A$6:$A$43,A42,$C$6:$C$43,"정기시험",$F$6:$F$43,"응시",$H$6:$H$43,"&lt;&gt;")&gt;0,"⑥-1 응시한 정기시험 기준 × "&amp;TEXT(IF(G42="출석인정",설정!$B$4,설정!$B$3),"0%"),IF(COUNTIFS($A$6:$A$43,A42,$C$6:$C$43,"수행평가",$F$6:$F$43,"응시",$H$6:$H$43,"&lt;&gt;")&gt;0,"⑥-2 응시한 수행평가 기준 × "&amp;TEXT(IF(G42="출석인정",설정!$B$4,설정!$B$3),"0%"),"⑧ 위원회 심의")))))</f>
        <v/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10" t="str">
        <f aca="false">IF(F43&lt;&gt;"결시","",IF(J43&lt;&gt;"",J43,IF(C43="수행평가",ROUND(E43*설정!$B$5,2),IF(I43="","평균 입력 필요",IFERROR(IF(COUNTIFS($A$6:$A$43,A43,$C$6:$C$43,"정기시험",$F$6:$F$43,"응시",$H$6:$H$43,"&lt;&gt;")&gt;0,MIN(E43,ROUND(SUMIFS($H$6:$H$43,$A$6:$A$43,A43,$C$6:$C$43,"정기시험",$F$6:$F$43,"응시",$H$6:$H$43,"&lt;&gt;")*I43/SUMIFS($I$6:$I$43,$A$6:$A$43,A43,$C$6:$C$43,"정기시험",$F$6:$F$43,"응시",$H$6:$H$43,"&lt;&gt;")*IF(G43="출석인정",설정!$B$4,설정!$B$3),2)),IF(COUNTIFS($A$6:$A$43,A43,$C$6:$C$43,"수행평가",$F$6:$F$43,"응시",$H$6:$H$43,"&lt;&gt;")&gt;0,MIN(E43,ROUND(SUMIFS($H$6:$H$43,$A$6:$A$43,A43,$C$6:$C$43,"수행평가",$F$6:$F$43,"응시",$H$6:$H$43,"&lt;&gt;")*I43/SUMIFS($I$6:$I$43,$A$6:$A$43,A43,$C$6:$C$43,"수행평가",$F$6:$F$43,"응시",$H$6:$H$43,"&lt;&gt;")*IF(G43="출석인정",설정!$B$4,설정!$B$3),2)),"위원회 심의")),"기준 시험 평균 입력 필요")))))</f>
        <v/>
      </c>
      <c r="L43" s="10" t="str">
        <f aca="false">IF(A43="","",IF(F43="결시",IF(ISNUMBER(K43),K43,""),IF(H43="","",H43)))</f>
        <v/>
      </c>
      <c r="M43" s="10" t="str">
        <f aca="false">IF(AND(ISNUMBER(L43),N(E43)&gt;0),L43/E43*D43,"")</f>
        <v/>
      </c>
      <c r="N43" s="11" t="str">
        <f aca="false">IF(F43&lt;&gt;"결시","",IF(J43&lt;&gt;"","직접 입력",IF(C43="수행평가","만점의 "&amp;TEXT(설정!$B$5,"0%")&amp;" (기본점수)",IF(COUNTIFS($A$6:$A$43,A43,$C$6:$C$43,"정기시험",$F$6:$F$43,"응시",$H$6:$H$43,"&lt;&gt;")&gt;0,"⑥-1 응시한 정기시험 기준 × "&amp;TEXT(IF(G43="출석인정",설정!$B$4,설정!$B$3),"0%"),IF(COUNTIFS($A$6:$A$43,A43,$C$6:$C$43,"수행평가",$F$6:$F$43,"응시",$H$6:$H$43,"&lt;&gt;")&gt;0,"⑥-2 응시한 수행평가 기준 × "&amp;TEXT(IF(G43="출석인정",설정!$B$4,설정!$B$3),"0%"),"⑧ 위원회 심의")))))</f>
        <v/>
      </c>
    </row>
  </sheetData>
  <mergeCells count="2">
    <mergeCell ref="A2:M2"/>
    <mergeCell ref="A3:M3"/>
  </mergeCells>
  <conditionalFormatting sqref="A6:N43">
    <cfRule type="expression" priority="2" aboveAverage="0" equalAverage="0" bottom="0" percent="0" rank="0" text="" dxfId="0">
      <formula>$F6="결시"</formula>
    </cfRule>
  </conditionalFormatting>
  <dataValidations count="3">
    <dataValidation allowBlank="true" errorStyle="stop" operator="between" showDropDown="false" showErrorMessage="false" showInputMessage="false" sqref="F6:F43" type="list">
      <formula1>"응시,결시"</formula1>
      <formula2>0</formula2>
    </dataValidation>
    <dataValidation allowBlank="true" errorStyle="stop" operator="between" showDropDown="false" showErrorMessage="false" showInputMessage="false" sqref="G6:G43" type="list">
      <formula1>"질병,출석인정"</formula1>
      <formula2>0</formula2>
    </dataValidation>
    <dataValidation allowBlank="true" errorStyle="stop" operator="between" showDropDown="false" showErrorMessage="false" showInputMessage="false" sqref="C6:C43" type="list">
      <formula1>"정기시험,수행평가"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52"/>
  </cols>
  <sheetData>
    <row r="1" customFormat="false" ht="16.4" hidden="false" customHeight="false" outlineLevel="0" collapsed="false">
      <c r="A1" s="12" t="s">
        <v>37</v>
      </c>
    </row>
    <row r="2" customFormat="false" ht="15" hidden="false" customHeight="false" outlineLevel="0" collapsed="false">
      <c r="A2" s="13" t="s">
        <v>16</v>
      </c>
      <c r="B2" s="13" t="s">
        <v>38</v>
      </c>
      <c r="C2" s="13" t="s">
        <v>39</v>
      </c>
    </row>
    <row r="3" customFormat="false" ht="15" hidden="false" customHeight="false" outlineLevel="0" collapsed="false">
      <c r="A3" s="14" t="s">
        <v>40</v>
      </c>
      <c r="B3" s="15" t="n">
        <v>0.8</v>
      </c>
      <c r="C3" s="16" t="s">
        <v>41</v>
      </c>
    </row>
    <row r="4" customFormat="false" ht="15" hidden="false" customHeight="false" outlineLevel="0" collapsed="false">
      <c r="A4" s="14" t="s">
        <v>42</v>
      </c>
      <c r="B4" s="15" t="n">
        <v>1</v>
      </c>
      <c r="C4" s="16" t="s">
        <v>43</v>
      </c>
    </row>
    <row r="5" customFormat="false" ht="15" hidden="false" customHeight="false" outlineLevel="0" collapsed="false">
      <c r="A5" s="14" t="s">
        <v>44</v>
      </c>
      <c r="B5" s="15" t="n">
        <v>0.3</v>
      </c>
      <c r="C5" s="1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1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12" t="s">
        <v>46</v>
      </c>
    </row>
    <row r="2" customFormat="false" ht="15" hidden="false" customHeight="false" outlineLevel="0" collapsed="false">
      <c r="A2" s="17" t="s">
        <v>47</v>
      </c>
    </row>
    <row r="3" customFormat="false" ht="15" hidden="false" customHeight="false" outlineLevel="0" collapsed="false">
      <c r="A3" s="17" t="s">
        <v>48</v>
      </c>
    </row>
    <row r="4" customFormat="false" ht="15" hidden="false" customHeight="false" outlineLevel="0" collapsed="false">
      <c r="A4" s="17" t="s">
        <v>49</v>
      </c>
    </row>
    <row r="5" customFormat="false" ht="15" hidden="false" customHeight="false" outlineLevel="0" collapsed="false">
      <c r="A5" s="17" t="s">
        <v>50</v>
      </c>
    </row>
    <row r="6" customFormat="false" ht="15" hidden="false" customHeight="false" outlineLevel="0" collapsed="false">
      <c r="A6" s="17" t="s">
        <v>51</v>
      </c>
    </row>
    <row r="7" customFormat="false" ht="15" hidden="false" customHeight="false" outlineLevel="0" collapsed="false">
      <c r="A7" s="17"/>
    </row>
    <row r="8" customFormat="false" ht="15" hidden="false" customHeight="false" outlineLevel="0" collapsed="false">
      <c r="A8" s="18" t="s">
        <v>52</v>
      </c>
    </row>
    <row r="9" customFormat="false" ht="15" hidden="false" customHeight="false" outlineLevel="0" collapsed="false">
      <c r="A9" s="13" t="s">
        <v>16</v>
      </c>
      <c r="B9" s="13" t="s">
        <v>20</v>
      </c>
      <c r="C9" s="13" t="s">
        <v>21</v>
      </c>
      <c r="D9" s="13" t="s">
        <v>22</v>
      </c>
      <c r="E9" s="13" t="s">
        <v>53</v>
      </c>
      <c r="F9" s="13" t="s">
        <v>25</v>
      </c>
    </row>
    <row r="10" customFormat="false" ht="15" hidden="false" customHeight="false" outlineLevel="0" collapsed="false">
      <c r="A10" s="14" t="s">
        <v>29</v>
      </c>
      <c r="B10" s="14" t="s">
        <v>31</v>
      </c>
      <c r="C10" s="14"/>
      <c r="D10" s="14" t="n">
        <v>66.9</v>
      </c>
      <c r="E10" s="14" t="n">
        <v>68.72</v>
      </c>
      <c r="F10" s="14"/>
    </row>
    <row r="11" customFormat="false" ht="15" hidden="false" customHeight="false" outlineLevel="0" collapsed="false">
      <c r="A11" s="14" t="s">
        <v>33</v>
      </c>
      <c r="B11" s="14" t="s">
        <v>54</v>
      </c>
      <c r="C11" s="14" t="s">
        <v>32</v>
      </c>
      <c r="D11" s="14"/>
      <c r="E11" s="14" t="n">
        <v>61.45</v>
      </c>
      <c r="F11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2026-10-14T07:15:58Z</dcterms:created>
  <dc:creator>openpyxl</dc:creator>
  <dc:description/>
  <dc:language>en-US</dc:language>
  <cp:lastModifiedBy/>
  <dcterms:modified xsi:type="dcterms:W3CDTF">2026-10-14T07:15:58Z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